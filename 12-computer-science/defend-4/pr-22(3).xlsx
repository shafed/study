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7D69DEDC-3600-4BFE-A50E-40666D80228D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Таблица" sheetId="1" r:id="rId1"/>
    <sheet name="Шенон" sheetId="2" r:id="rId2"/>
    <sheet name="Хаффман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U3" i="3" l="1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2" i="3"/>
  <c r="V2" i="2"/>
  <c r="T2" i="2"/>
  <c r="W19" i="3"/>
  <c r="U19" i="3"/>
  <c r="V3" i="3"/>
  <c r="W3" i="3"/>
  <c r="V4" i="3"/>
  <c r="W4" i="3"/>
  <c r="V5" i="3"/>
  <c r="W5" i="3"/>
  <c r="V6" i="3"/>
  <c r="W6" i="3"/>
  <c r="V7" i="3"/>
  <c r="W7" i="3"/>
  <c r="V8" i="3"/>
  <c r="W8" i="3"/>
  <c r="V9" i="3"/>
  <c r="W9" i="3"/>
  <c r="V10" i="3"/>
  <c r="W10" i="3"/>
  <c r="V11" i="3"/>
  <c r="W11" i="3"/>
  <c r="V12" i="3"/>
  <c r="W12" i="3"/>
  <c r="V13" i="3"/>
  <c r="W13" i="3"/>
  <c r="V14" i="3"/>
  <c r="W14" i="3"/>
  <c r="V15" i="3"/>
  <c r="W15" i="3"/>
  <c r="V16" i="3"/>
  <c r="W16" i="3"/>
  <c r="V17" i="3"/>
  <c r="W17" i="3"/>
  <c r="V18" i="3"/>
  <c r="W18" i="3"/>
  <c r="W2" i="3"/>
  <c r="V2" i="3"/>
  <c r="N2" i="3"/>
  <c r="O2" i="3" s="1"/>
  <c r="P2" i="3" s="1"/>
  <c r="M4" i="3"/>
  <c r="N4" i="3" s="1"/>
  <c r="O4" i="3" s="1"/>
  <c r="P4" i="3" s="1"/>
  <c r="K6" i="3"/>
  <c r="L6" i="3" s="1"/>
  <c r="M6" i="3" s="1"/>
  <c r="N6" i="3" s="1"/>
  <c r="J8" i="3"/>
  <c r="K8" i="3" s="1"/>
  <c r="L8" i="3" s="1"/>
  <c r="M8" i="3" s="1"/>
  <c r="N8" i="3" s="1"/>
  <c r="G11" i="3"/>
  <c r="H10" i="3" s="1"/>
  <c r="I10" i="3" s="1"/>
  <c r="J10" i="3" s="1"/>
  <c r="K10" i="3" s="1"/>
  <c r="F13" i="3"/>
  <c r="G13" i="3" s="1"/>
  <c r="H13" i="3" s="1"/>
  <c r="I13" i="3" s="1"/>
  <c r="J13" i="3" s="1"/>
  <c r="K13" i="3" s="1"/>
  <c r="E15" i="3"/>
  <c r="F15" i="3" s="1"/>
  <c r="G15" i="3" s="1"/>
  <c r="H15" i="3" s="1"/>
  <c r="C18" i="3"/>
  <c r="C17" i="3"/>
  <c r="D17" i="3" s="1"/>
  <c r="E17" i="3" s="1"/>
  <c r="F17" i="3" s="1"/>
  <c r="G17" i="3" s="1"/>
  <c r="H17" i="3" s="1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T1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2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U3" i="2"/>
  <c r="V3" i="2" s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2" i="2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B5" i="1"/>
  <c r="V19" i="2" l="1"/>
  <c r="I15" i="3"/>
  <c r="J15" i="3" s="1"/>
  <c r="K15" i="3" s="1"/>
  <c r="L15" i="3" s="1"/>
  <c r="M15" i="3" s="1"/>
  <c r="N15" i="3" s="1"/>
  <c r="O15" i="3" s="1"/>
  <c r="L10" i="3"/>
  <c r="M10" i="3" s="1"/>
  <c r="N10" i="3" s="1"/>
  <c r="O10" i="3" s="1"/>
  <c r="P10" i="3" s="1"/>
  <c r="Q10" i="3" s="1"/>
  <c r="O6" i="3"/>
  <c r="P6" i="3" s="1"/>
  <c r="Q6" i="3" s="1"/>
  <c r="R6" i="3" s="1"/>
  <c r="Q2" i="3"/>
  <c r="R2" i="3" s="1"/>
  <c r="S2" i="3" s="1"/>
</calcChain>
</file>

<file path=xl/sharedStrings.xml><?xml version="1.0" encoding="utf-8"?>
<sst xmlns="http://schemas.openxmlformats.org/spreadsheetml/2006/main" count="114" uniqueCount="52">
  <si>
    <t>Исходная строка: Шапаренко Федор Александрович</t>
  </si>
  <si>
    <t>Общее количество символов: 29</t>
  </si>
  <si>
    <t>Символ</t>
  </si>
  <si>
    <t>Ш</t>
  </si>
  <si>
    <t>а</t>
  </si>
  <si>
    <t>п</t>
  </si>
  <si>
    <t>р</t>
  </si>
  <si>
    <t>е</t>
  </si>
  <si>
    <t>н</t>
  </si>
  <si>
    <t>к</t>
  </si>
  <si>
    <t>о</t>
  </si>
  <si>
    <t>пробел</t>
  </si>
  <si>
    <t>Ф</t>
  </si>
  <si>
    <t>д</t>
  </si>
  <si>
    <t>А</t>
  </si>
  <si>
    <t>л</t>
  </si>
  <si>
    <t>с</t>
  </si>
  <si>
    <t>в</t>
  </si>
  <si>
    <t>и</t>
  </si>
  <si>
    <t>ч</t>
  </si>
  <si>
    <t>Количество</t>
  </si>
  <si>
    <t>Вероятность</t>
  </si>
  <si>
    <t>Код Шеннона–Фано</t>
  </si>
  <si>
    <t>Длина кода</t>
  </si>
  <si>
    <t>Вспомогательные столбцы</t>
  </si>
  <si>
    <t>Кодовые комбинации</t>
  </si>
  <si>
    <t>Длина строки</t>
  </si>
  <si>
    <t>00</t>
  </si>
  <si>
    <t>01</t>
  </si>
  <si>
    <t>111111111110</t>
  </si>
  <si>
    <t>1111111111110</t>
  </si>
  <si>
    <t>11111111111110</t>
  </si>
  <si>
    <t>111111111111110</t>
  </si>
  <si>
    <t>111111111111111</t>
  </si>
  <si>
    <t>длина строки</t>
  </si>
  <si>
    <t>000</t>
  </si>
  <si>
    <t>001</t>
  </si>
  <si>
    <t>010</t>
  </si>
  <si>
    <t>011</t>
  </si>
  <si>
    <t>1000</t>
  </si>
  <si>
    <t>1001</t>
  </si>
  <si>
    <t>1010</t>
  </si>
  <si>
    <t>1011</t>
  </si>
  <si>
    <t>11000</t>
  </si>
  <si>
    <t>110010</t>
  </si>
  <si>
    <t>110011</t>
  </si>
  <si>
    <t>11010</t>
  </si>
  <si>
    <t>11011</t>
  </si>
  <si>
    <t>11100</t>
  </si>
  <si>
    <t>11101</t>
  </si>
  <si>
    <t>11110</t>
  </si>
  <si>
    <t>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</si>
</sst>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0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 applyAlignme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B8810D-79F8-4614-B9C6-62346279AD7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2b299dd-3fa1-4d11-9221-745bf33729c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workbookViewId="0">
      <selection activeCell="F9" sqref="F9"/>
    </sheetView>
  </sheetViews>
  <sheetFormatPr defaultRowHeight="15"/>
  <cols>
    <col min="1" max="1" width="12.140625" bestFit="1" customWidth="1"/>
    <col min="2" max="6" width="6.85546875" bestFit="1" customWidth="1"/>
    <col min="7" max="8" width="5.85546875" bestFit="1" customWidth="1"/>
    <col min="9" max="9" width="6.85546875" bestFit="1" customWidth="1"/>
    <col min="10" max="10" width="7.5703125" bestFit="1" customWidth="1"/>
    <col min="11" max="11" width="6.85546875" bestFit="1" customWidth="1"/>
    <col min="12" max="12" width="5.85546875" bestFit="1" customWidth="1"/>
    <col min="13" max="18" width="6.85546875" bestFit="1" customWidth="1"/>
  </cols>
  <sheetData>
    <row r="1" spans="1:18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</row>
    <row r="4" spans="1:18">
      <c r="A4" t="s">
        <v>20</v>
      </c>
      <c r="B4">
        <v>1</v>
      </c>
      <c r="C4">
        <v>3</v>
      </c>
      <c r="D4">
        <v>1</v>
      </c>
      <c r="E4">
        <v>3</v>
      </c>
      <c r="F4">
        <v>3</v>
      </c>
      <c r="G4">
        <v>2</v>
      </c>
      <c r="H4">
        <v>2</v>
      </c>
      <c r="I4">
        <v>3</v>
      </c>
      <c r="J4">
        <v>2</v>
      </c>
      <c r="K4">
        <v>1</v>
      </c>
      <c r="L4">
        <v>2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t="s">
        <v>21</v>
      </c>
      <c r="B5">
        <f>B4/29</f>
        <v>3.4482758620689655E-2</v>
      </c>
      <c r="C5">
        <f t="shared" ref="C5:R5" si="0">C4/29</f>
        <v>0.10344827586206896</v>
      </c>
      <c r="D5">
        <f t="shared" si="0"/>
        <v>3.4482758620689655E-2</v>
      </c>
      <c r="E5">
        <f t="shared" si="0"/>
        <v>0.10344827586206896</v>
      </c>
      <c r="F5">
        <f t="shared" si="0"/>
        <v>0.10344827586206896</v>
      </c>
      <c r="G5">
        <f t="shared" si="0"/>
        <v>6.8965517241379309E-2</v>
      </c>
      <c r="H5">
        <f t="shared" si="0"/>
        <v>6.8965517241379309E-2</v>
      </c>
      <c r="I5">
        <f t="shared" si="0"/>
        <v>0.10344827586206896</v>
      </c>
      <c r="J5">
        <f t="shared" si="0"/>
        <v>6.8965517241379309E-2</v>
      </c>
      <c r="K5">
        <f t="shared" si="0"/>
        <v>3.4482758620689655E-2</v>
      </c>
      <c r="L5">
        <f t="shared" si="0"/>
        <v>6.8965517241379309E-2</v>
      </c>
      <c r="M5">
        <f t="shared" si="0"/>
        <v>3.4482758620689655E-2</v>
      </c>
      <c r="N5">
        <f t="shared" si="0"/>
        <v>3.4482758620689655E-2</v>
      </c>
      <c r="O5">
        <f t="shared" si="0"/>
        <v>3.4482758620689655E-2</v>
      </c>
      <c r="P5">
        <f t="shared" si="0"/>
        <v>3.4482758620689655E-2</v>
      </c>
      <c r="Q5">
        <f t="shared" si="0"/>
        <v>3.4482758620689655E-2</v>
      </c>
      <c r="R5">
        <f t="shared" si="0"/>
        <v>3.4482758620689655E-2</v>
      </c>
    </row>
    <row r="10" spans="1:18">
      <c r="A10" s="1" t="s">
        <v>2</v>
      </c>
      <c r="B10" s="1" t="s">
        <v>20</v>
      </c>
      <c r="C10" s="1" t="s">
        <v>21</v>
      </c>
      <c r="D10" s="1" t="s">
        <v>22</v>
      </c>
      <c r="E10" s="1" t="s">
        <v>23</v>
      </c>
    </row>
    <row r="11" spans="1:18">
      <c r="A11" t="s">
        <v>4</v>
      </c>
      <c r="B11">
        <v>3</v>
      </c>
      <c r="C11">
        <v>0.10340000000000001</v>
      </c>
      <c r="D11">
        <v>111</v>
      </c>
      <c r="E11">
        <v>3</v>
      </c>
    </row>
    <row r="12" spans="1:18">
      <c r="A12" t="s">
        <v>6</v>
      </c>
      <c r="B12">
        <v>3</v>
      </c>
      <c r="C12">
        <v>0.10340000000000001</v>
      </c>
      <c r="D12">
        <v>110</v>
      </c>
      <c r="E12">
        <v>3</v>
      </c>
    </row>
    <row r="13" spans="1:18">
      <c r="A13" t="s">
        <v>7</v>
      </c>
      <c r="B13">
        <v>3</v>
      </c>
      <c r="C13">
        <v>0.10340000000000001</v>
      </c>
      <c r="D13">
        <v>101</v>
      </c>
      <c r="E13">
        <v>3</v>
      </c>
    </row>
    <row r="14" spans="1:18">
      <c r="A14" t="s">
        <v>10</v>
      </c>
      <c r="B14">
        <v>3</v>
      </c>
      <c r="C14">
        <v>0.10340000000000001</v>
      </c>
      <c r="D14">
        <v>1001</v>
      </c>
      <c r="E14">
        <v>4</v>
      </c>
    </row>
    <row r="15" spans="1:18">
      <c r="A15" t="s">
        <v>8</v>
      </c>
      <c r="B15">
        <v>2</v>
      </c>
      <c r="C15">
        <v>6.9000000000000006E-2</v>
      </c>
      <c r="D15">
        <v>1000</v>
      </c>
      <c r="E15">
        <v>4</v>
      </c>
    </row>
    <row r="16" spans="1:18">
      <c r="A16" t="s">
        <v>9</v>
      </c>
      <c r="B16">
        <v>2</v>
      </c>
      <c r="C16">
        <v>6.9000000000000006E-2</v>
      </c>
      <c r="D16">
        <v>111</v>
      </c>
      <c r="E16">
        <v>4</v>
      </c>
    </row>
    <row r="17" spans="1:25">
      <c r="A17" t="s">
        <v>11</v>
      </c>
      <c r="B17">
        <v>2</v>
      </c>
      <c r="C17">
        <v>6.9000000000000006E-2</v>
      </c>
      <c r="D17">
        <v>110</v>
      </c>
      <c r="E17">
        <v>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>
      <c r="A18" t="s">
        <v>13</v>
      </c>
      <c r="B18">
        <v>2</v>
      </c>
      <c r="C18">
        <v>6.9000000000000006E-2</v>
      </c>
      <c r="D18">
        <v>101</v>
      </c>
      <c r="E18">
        <v>4</v>
      </c>
    </row>
    <row r="19" spans="1:25">
      <c r="A19" t="s">
        <v>3</v>
      </c>
      <c r="B19">
        <v>1</v>
      </c>
      <c r="C19">
        <v>3.4500000000000003E-2</v>
      </c>
      <c r="D19">
        <v>100</v>
      </c>
      <c r="E19">
        <v>4</v>
      </c>
    </row>
    <row r="20" spans="1:25">
      <c r="A20" t="s">
        <v>5</v>
      </c>
      <c r="B20">
        <v>1</v>
      </c>
      <c r="C20">
        <v>3.4500000000000003E-2</v>
      </c>
      <c r="D20">
        <v>111</v>
      </c>
      <c r="E20">
        <v>5</v>
      </c>
    </row>
    <row r="21" spans="1:25">
      <c r="A21" t="s">
        <v>12</v>
      </c>
      <c r="B21">
        <v>1</v>
      </c>
      <c r="C21">
        <v>3.4500000000000003E-2</v>
      </c>
      <c r="D21">
        <v>110</v>
      </c>
      <c r="E21">
        <v>5</v>
      </c>
    </row>
    <row r="22" spans="1:25">
      <c r="A22" t="s">
        <v>14</v>
      </c>
      <c r="B22">
        <v>1</v>
      </c>
      <c r="C22">
        <v>3.4500000000000003E-2</v>
      </c>
      <c r="D22">
        <v>101</v>
      </c>
      <c r="E22">
        <v>5</v>
      </c>
    </row>
    <row r="23" spans="1:25">
      <c r="A23" t="s">
        <v>15</v>
      </c>
      <c r="B23">
        <v>1</v>
      </c>
      <c r="C23">
        <v>3.4500000000000003E-2</v>
      </c>
      <c r="D23">
        <v>100</v>
      </c>
      <c r="E23">
        <v>5</v>
      </c>
    </row>
    <row r="24" spans="1:25">
      <c r="A24" t="s">
        <v>16</v>
      </c>
      <c r="B24">
        <v>1</v>
      </c>
      <c r="C24">
        <v>3.4500000000000003E-2</v>
      </c>
      <c r="D24">
        <v>11</v>
      </c>
      <c r="E24">
        <v>5</v>
      </c>
    </row>
    <row r="25" spans="1:25">
      <c r="A25" t="s">
        <v>17</v>
      </c>
      <c r="B25">
        <v>1</v>
      </c>
      <c r="C25">
        <v>3.4500000000000003E-2</v>
      </c>
      <c r="D25">
        <v>10</v>
      </c>
      <c r="E25">
        <v>5</v>
      </c>
    </row>
    <row r="26" spans="1:25">
      <c r="A26" t="s">
        <v>18</v>
      </c>
      <c r="B26">
        <v>1</v>
      </c>
      <c r="C26">
        <v>3.4500000000000003E-2</v>
      </c>
      <c r="D26">
        <v>1</v>
      </c>
      <c r="E26">
        <v>5</v>
      </c>
    </row>
    <row r="27" spans="1:25">
      <c r="A27" t="s">
        <v>19</v>
      </c>
      <c r="B27">
        <v>1</v>
      </c>
      <c r="C27">
        <v>3.4500000000000003E-2</v>
      </c>
      <c r="D27">
        <v>0</v>
      </c>
      <c r="E27">
        <v>5</v>
      </c>
    </row>
  </sheetData>
  <mergeCells count="2">
    <mergeCell ref="A1:R1"/>
    <mergeCell ref="A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E832-574C-4766-8B4E-3150F8E4E562}">
  <dimension ref="A1:V19"/>
  <sheetViews>
    <sheetView workbookViewId="0">
      <selection activeCell="S3" sqref="S3"/>
    </sheetView>
  </sheetViews>
  <sheetFormatPr defaultRowHeight="15"/>
  <cols>
    <col min="1" max="1" width="8" bestFit="1" customWidth="1"/>
    <col min="2" max="2" width="11.5703125" bestFit="1" customWidth="1"/>
    <col min="3" max="3" width="12.42578125" bestFit="1" customWidth="1"/>
    <col min="4" max="18" width="2" bestFit="1" customWidth="1"/>
    <col min="19" max="19" width="21.5703125" bestFit="1" customWidth="1"/>
  </cols>
  <sheetData>
    <row r="1" spans="1:22">
      <c r="A1" s="1" t="s">
        <v>2</v>
      </c>
      <c r="B1" s="1" t="s">
        <v>20</v>
      </c>
      <c r="C1" s="1" t="s">
        <v>21</v>
      </c>
      <c r="D1" s="5" t="s">
        <v>24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1" t="s">
        <v>25</v>
      </c>
      <c r="U1" t="s">
        <v>26</v>
      </c>
    </row>
    <row r="2" spans="1:22">
      <c r="A2" t="s">
        <v>4</v>
      </c>
      <c r="B2">
        <v>3</v>
      </c>
      <c r="C2">
        <f>B2/29 * 100</f>
        <v>10.344827586206897</v>
      </c>
      <c r="D2" s="6">
        <v>0</v>
      </c>
      <c r="E2">
        <v>0</v>
      </c>
      <c r="S2" s="2" t="s">
        <v>27</v>
      </c>
      <c r="T2">
        <f>(C2/100)*LOG(C2/100,2)</f>
        <v>-0.33858812011100853</v>
      </c>
      <c r="U2">
        <f>LEN(S2)</f>
        <v>2</v>
      </c>
      <c r="V2">
        <f>U2*C2/100</f>
        <v>0.20689655172413793</v>
      </c>
    </row>
    <row r="3" spans="1:22">
      <c r="A3" t="s">
        <v>6</v>
      </c>
      <c r="B3">
        <v>3</v>
      </c>
      <c r="C3">
        <f t="shared" ref="C3:C18" si="0">B3/29 * 100</f>
        <v>10.344827586206897</v>
      </c>
      <c r="D3" s="6"/>
      <c r="E3">
        <v>1</v>
      </c>
      <c r="S3" s="2" t="s">
        <v>28</v>
      </c>
      <c r="T3">
        <f t="shared" ref="T3:T18" si="1">(C3/100)*LOG(C3/100,2)</f>
        <v>-0.33858812011100853</v>
      </c>
      <c r="U3">
        <f t="shared" ref="U3:U18" si="2">LEN(S3)</f>
        <v>2</v>
      </c>
      <c r="V3">
        <f t="shared" ref="V3:V18" si="3">U3*C3/100</f>
        <v>0.20689655172413793</v>
      </c>
    </row>
    <row r="4" spans="1:22">
      <c r="A4" t="s">
        <v>7</v>
      </c>
      <c r="B4">
        <v>3</v>
      </c>
      <c r="C4">
        <f t="shared" si="0"/>
        <v>10.344827586206897</v>
      </c>
      <c r="D4" s="6">
        <v>1</v>
      </c>
      <c r="E4">
        <v>0</v>
      </c>
      <c r="S4" s="2">
        <v>10</v>
      </c>
      <c r="T4">
        <f t="shared" si="1"/>
        <v>-0.33858812011100853</v>
      </c>
      <c r="U4">
        <f t="shared" si="2"/>
        <v>2</v>
      </c>
      <c r="V4">
        <f t="shared" si="3"/>
        <v>0.20689655172413793</v>
      </c>
    </row>
    <row r="5" spans="1:22">
      <c r="A5" t="s">
        <v>10</v>
      </c>
      <c r="B5">
        <v>3</v>
      </c>
      <c r="C5">
        <f t="shared" si="0"/>
        <v>10.344827586206897</v>
      </c>
      <c r="D5" s="6"/>
      <c r="E5" s="6">
        <v>1</v>
      </c>
      <c r="F5">
        <v>0</v>
      </c>
      <c r="S5" s="2">
        <v>110</v>
      </c>
      <c r="T5">
        <f t="shared" si="1"/>
        <v>-0.33858812011100853</v>
      </c>
      <c r="U5">
        <f t="shared" si="2"/>
        <v>3</v>
      </c>
      <c r="V5">
        <f t="shared" si="3"/>
        <v>0.31034482758620691</v>
      </c>
    </row>
    <row r="6" spans="1:22">
      <c r="A6" t="s">
        <v>8</v>
      </c>
      <c r="B6">
        <v>2</v>
      </c>
      <c r="C6">
        <f t="shared" si="0"/>
        <v>6.8965517241379306</v>
      </c>
      <c r="D6" s="6"/>
      <c r="E6" s="6"/>
      <c r="F6" s="6">
        <v>1</v>
      </c>
      <c r="G6">
        <v>0</v>
      </c>
      <c r="S6" s="2">
        <v>1110</v>
      </c>
      <c r="T6">
        <f t="shared" si="1"/>
        <v>-0.26606765483638428</v>
      </c>
      <c r="U6">
        <f t="shared" si="2"/>
        <v>4</v>
      </c>
      <c r="V6">
        <f t="shared" si="3"/>
        <v>0.27586206896551724</v>
      </c>
    </row>
    <row r="7" spans="1:22">
      <c r="A7" t="s">
        <v>9</v>
      </c>
      <c r="B7">
        <v>2</v>
      </c>
      <c r="C7">
        <f t="shared" si="0"/>
        <v>6.8965517241379306</v>
      </c>
      <c r="D7" s="6"/>
      <c r="E7" s="6"/>
      <c r="F7" s="6"/>
      <c r="G7" s="6">
        <v>1</v>
      </c>
      <c r="H7">
        <v>0</v>
      </c>
      <c r="S7" s="2">
        <v>11110</v>
      </c>
      <c r="T7">
        <f t="shared" si="1"/>
        <v>-0.26606765483638428</v>
      </c>
      <c r="U7">
        <f t="shared" si="2"/>
        <v>5</v>
      </c>
      <c r="V7">
        <f t="shared" si="3"/>
        <v>0.34482758620689652</v>
      </c>
    </row>
    <row r="8" spans="1:22">
      <c r="A8" t="s">
        <v>11</v>
      </c>
      <c r="B8">
        <v>2</v>
      </c>
      <c r="C8">
        <f t="shared" si="0"/>
        <v>6.8965517241379306</v>
      </c>
      <c r="D8" s="6"/>
      <c r="E8" s="6"/>
      <c r="F8" s="6"/>
      <c r="G8" s="6"/>
      <c r="H8" s="6">
        <v>1</v>
      </c>
      <c r="I8">
        <v>0</v>
      </c>
      <c r="S8" s="2">
        <v>111110</v>
      </c>
      <c r="T8">
        <f t="shared" si="1"/>
        <v>-0.26606765483638428</v>
      </c>
      <c r="U8">
        <f t="shared" si="2"/>
        <v>6</v>
      </c>
      <c r="V8">
        <f t="shared" si="3"/>
        <v>0.41379310344827586</v>
      </c>
    </row>
    <row r="9" spans="1:22">
      <c r="A9" t="s">
        <v>13</v>
      </c>
      <c r="B9">
        <v>2</v>
      </c>
      <c r="C9">
        <f t="shared" si="0"/>
        <v>6.8965517241379306</v>
      </c>
      <c r="D9" s="6"/>
      <c r="E9" s="6"/>
      <c r="F9" s="6"/>
      <c r="G9" s="6"/>
      <c r="H9" s="6"/>
      <c r="I9" s="6">
        <v>1</v>
      </c>
      <c r="J9">
        <v>0</v>
      </c>
      <c r="S9" s="2">
        <v>1111110</v>
      </c>
      <c r="T9">
        <f t="shared" si="1"/>
        <v>-0.26606765483638428</v>
      </c>
      <c r="U9">
        <f t="shared" si="2"/>
        <v>7</v>
      </c>
      <c r="V9">
        <f t="shared" si="3"/>
        <v>0.48275862068965514</v>
      </c>
    </row>
    <row r="10" spans="1:22">
      <c r="A10" t="s">
        <v>3</v>
      </c>
      <c r="B10">
        <v>1</v>
      </c>
      <c r="C10">
        <f t="shared" si="0"/>
        <v>3.4482758620689653</v>
      </c>
      <c r="D10" s="6"/>
      <c r="E10" s="6"/>
      <c r="F10" s="6"/>
      <c r="G10" s="6"/>
      <c r="H10" s="6"/>
      <c r="I10" s="6"/>
      <c r="J10" s="6">
        <v>1</v>
      </c>
      <c r="K10">
        <v>0</v>
      </c>
      <c r="S10" s="2">
        <v>11111110</v>
      </c>
      <c r="T10">
        <f t="shared" si="1"/>
        <v>-0.16751658603888181</v>
      </c>
      <c r="U10">
        <f t="shared" si="2"/>
        <v>8</v>
      </c>
      <c r="V10">
        <f t="shared" si="3"/>
        <v>0.27586206896551724</v>
      </c>
    </row>
    <row r="11" spans="1:22">
      <c r="A11" t="s">
        <v>5</v>
      </c>
      <c r="B11">
        <v>1</v>
      </c>
      <c r="C11">
        <f t="shared" si="0"/>
        <v>3.4482758620689653</v>
      </c>
      <c r="D11" s="6"/>
      <c r="E11" s="6"/>
      <c r="F11" s="6"/>
      <c r="G11" s="6"/>
      <c r="H11" s="6"/>
      <c r="I11" s="6"/>
      <c r="J11" s="6"/>
      <c r="K11" s="6">
        <v>1</v>
      </c>
      <c r="L11">
        <v>0</v>
      </c>
      <c r="S11" s="2">
        <v>111111110</v>
      </c>
      <c r="T11">
        <f t="shared" si="1"/>
        <v>-0.16751658603888181</v>
      </c>
      <c r="U11">
        <f t="shared" si="2"/>
        <v>9</v>
      </c>
      <c r="V11">
        <f t="shared" si="3"/>
        <v>0.31034482758620685</v>
      </c>
    </row>
    <row r="12" spans="1:22">
      <c r="A12" t="s">
        <v>12</v>
      </c>
      <c r="B12">
        <v>1</v>
      </c>
      <c r="C12">
        <f t="shared" si="0"/>
        <v>3.4482758620689653</v>
      </c>
      <c r="D12" s="6"/>
      <c r="E12" s="6"/>
      <c r="F12" s="6"/>
      <c r="G12" s="6"/>
      <c r="H12" s="6"/>
      <c r="I12" s="6"/>
      <c r="J12" s="6"/>
      <c r="K12" s="6"/>
      <c r="L12" s="6">
        <v>1</v>
      </c>
      <c r="M12">
        <v>0</v>
      </c>
      <c r="S12" s="2">
        <v>1111111110</v>
      </c>
      <c r="T12">
        <f t="shared" si="1"/>
        <v>-0.16751658603888181</v>
      </c>
      <c r="U12">
        <f t="shared" si="2"/>
        <v>10</v>
      </c>
      <c r="V12">
        <f t="shared" si="3"/>
        <v>0.34482758620689652</v>
      </c>
    </row>
    <row r="13" spans="1:22">
      <c r="A13" t="s">
        <v>14</v>
      </c>
      <c r="B13">
        <v>1</v>
      </c>
      <c r="C13">
        <f t="shared" si="0"/>
        <v>3.4482758620689653</v>
      </c>
      <c r="D13" s="6"/>
      <c r="E13" s="6"/>
      <c r="F13" s="6"/>
      <c r="G13" s="6"/>
      <c r="H13" s="6"/>
      <c r="I13" s="6"/>
      <c r="J13" s="6"/>
      <c r="K13" s="6"/>
      <c r="L13" s="6"/>
      <c r="M13" s="6">
        <v>1</v>
      </c>
      <c r="N13">
        <v>0</v>
      </c>
      <c r="S13" s="2">
        <v>11111111110</v>
      </c>
      <c r="T13">
        <f t="shared" si="1"/>
        <v>-0.16751658603888181</v>
      </c>
      <c r="U13">
        <f t="shared" si="2"/>
        <v>11</v>
      </c>
      <c r="V13">
        <f t="shared" si="3"/>
        <v>0.37931034482758619</v>
      </c>
    </row>
    <row r="14" spans="1:22">
      <c r="A14" t="s">
        <v>15</v>
      </c>
      <c r="B14">
        <v>1</v>
      </c>
      <c r="C14">
        <f t="shared" si="0"/>
        <v>3.4482758620689653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v>1</v>
      </c>
      <c r="O14">
        <v>0</v>
      </c>
      <c r="S14" s="2" t="s">
        <v>29</v>
      </c>
      <c r="T14">
        <f t="shared" si="1"/>
        <v>-0.16751658603888181</v>
      </c>
      <c r="U14">
        <f t="shared" si="2"/>
        <v>12</v>
      </c>
      <c r="V14">
        <f t="shared" si="3"/>
        <v>0.41379310344827586</v>
      </c>
    </row>
    <row r="15" spans="1:22">
      <c r="A15" t="s">
        <v>16</v>
      </c>
      <c r="B15">
        <v>1</v>
      </c>
      <c r="C15">
        <f t="shared" si="0"/>
        <v>3.4482758620689653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</v>
      </c>
      <c r="P15">
        <v>0</v>
      </c>
      <c r="S15" s="2" t="s">
        <v>30</v>
      </c>
      <c r="T15">
        <f t="shared" si="1"/>
        <v>-0.16751658603888181</v>
      </c>
      <c r="U15">
        <f t="shared" si="2"/>
        <v>13</v>
      </c>
      <c r="V15">
        <f t="shared" si="3"/>
        <v>0.44827586206896547</v>
      </c>
    </row>
    <row r="16" spans="1:22">
      <c r="A16" t="s">
        <v>17</v>
      </c>
      <c r="B16">
        <v>1</v>
      </c>
      <c r="C16">
        <f t="shared" si="0"/>
        <v>3.4482758620689653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1</v>
      </c>
      <c r="Q16">
        <v>0</v>
      </c>
      <c r="S16" s="2" t="s">
        <v>31</v>
      </c>
      <c r="T16">
        <f t="shared" si="1"/>
        <v>-0.16751658603888181</v>
      </c>
      <c r="U16">
        <f t="shared" si="2"/>
        <v>14</v>
      </c>
      <c r="V16">
        <f t="shared" si="3"/>
        <v>0.48275862068965514</v>
      </c>
    </row>
    <row r="17" spans="1:22">
      <c r="A17" t="s">
        <v>18</v>
      </c>
      <c r="B17">
        <v>1</v>
      </c>
      <c r="C17">
        <f t="shared" si="0"/>
        <v>3.4482758620689653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1</v>
      </c>
      <c r="R17">
        <v>0</v>
      </c>
      <c r="S17" s="2" t="s">
        <v>32</v>
      </c>
      <c r="T17">
        <f t="shared" si="1"/>
        <v>-0.16751658603888181</v>
      </c>
      <c r="U17">
        <f t="shared" si="2"/>
        <v>15</v>
      </c>
      <c r="V17">
        <f t="shared" si="3"/>
        <v>0.51724137931034475</v>
      </c>
    </row>
    <row r="18" spans="1:22">
      <c r="A18" t="s">
        <v>19</v>
      </c>
      <c r="B18">
        <v>1</v>
      </c>
      <c r="C18">
        <f t="shared" si="0"/>
        <v>3.4482758620689653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>
        <v>1</v>
      </c>
      <c r="S18" s="2" t="s">
        <v>33</v>
      </c>
      <c r="T18">
        <f t="shared" si="1"/>
        <v>-0.16751658603888181</v>
      </c>
      <c r="U18">
        <f t="shared" si="2"/>
        <v>15</v>
      </c>
      <c r="V18">
        <f t="shared" si="3"/>
        <v>0.51724137931034475</v>
      </c>
    </row>
    <row r="19" spans="1:22">
      <c r="T19" s="3">
        <f>-SUM(T2:T18)</f>
        <v>3.9262723741395078</v>
      </c>
      <c r="U19" s="4"/>
      <c r="V19" s="3">
        <f>SUM(V2:V18)</f>
        <v>6.137931034482758</v>
      </c>
    </row>
  </sheetData>
  <mergeCells count="16">
    <mergeCell ref="O15:O18"/>
    <mergeCell ref="P16:P18"/>
    <mergeCell ref="Q17:Q18"/>
    <mergeCell ref="D1:R1"/>
    <mergeCell ref="I9:I18"/>
    <mergeCell ref="J10:J18"/>
    <mergeCell ref="K11:K18"/>
    <mergeCell ref="L12:L18"/>
    <mergeCell ref="M13:M18"/>
    <mergeCell ref="N14:N18"/>
    <mergeCell ref="D2:D3"/>
    <mergeCell ref="D4:D18"/>
    <mergeCell ref="E5:E18"/>
    <mergeCell ref="F6:F18"/>
    <mergeCell ref="G7:G18"/>
    <mergeCell ref="H8:H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2DE7-17BA-45C5-8C88-70CCF4E7EB13}">
  <dimension ref="A1:W19"/>
  <sheetViews>
    <sheetView tabSelected="1" topLeftCell="O1" workbookViewId="0">
      <selection activeCell="U2" sqref="U2:U18"/>
    </sheetView>
  </sheetViews>
  <sheetFormatPr defaultRowHeight="15"/>
  <cols>
    <col min="1" max="1" width="8" bestFit="1" customWidth="1"/>
    <col min="2" max="2" width="11.5703125" bestFit="1" customWidth="1"/>
    <col min="3" max="3" width="12.42578125" bestFit="1" customWidth="1"/>
    <col min="4" max="18" width="12.28515625" bestFit="1" customWidth="1"/>
    <col min="19" max="19" width="4.140625" bestFit="1" customWidth="1"/>
    <col min="20" max="20" width="18.7109375" bestFit="1" customWidth="1"/>
  </cols>
  <sheetData>
    <row r="1" spans="1:23">
      <c r="A1" s="1" t="s">
        <v>2</v>
      </c>
      <c r="B1" s="1" t="s">
        <v>20</v>
      </c>
      <c r="C1" s="1" t="s">
        <v>21</v>
      </c>
      <c r="D1" s="5" t="s">
        <v>24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9" t="s">
        <v>25</v>
      </c>
      <c r="V1" t="s">
        <v>34</v>
      </c>
    </row>
    <row r="2" spans="1:23">
      <c r="A2" t="s">
        <v>4</v>
      </c>
      <c r="B2">
        <v>3</v>
      </c>
      <c r="C2">
        <f>B2/29 * 100</f>
        <v>10.344827586206897</v>
      </c>
      <c r="D2" s="7">
        <v>10.344827586206897</v>
      </c>
      <c r="E2" s="7">
        <v>10.344827586206897</v>
      </c>
      <c r="F2" s="7">
        <v>10.344827586206897</v>
      </c>
      <c r="G2" s="7">
        <v>10.344827586206897</v>
      </c>
      <c r="H2" s="7">
        <v>10.344827586206897</v>
      </c>
      <c r="I2" s="7">
        <v>10.344827586206897</v>
      </c>
      <c r="J2" s="7">
        <v>10.344827586206897</v>
      </c>
      <c r="K2" s="7">
        <v>10.344827586206897</v>
      </c>
      <c r="L2" s="7">
        <v>10.344827586206897</v>
      </c>
      <c r="M2" s="7">
        <v>10.344827586206897</v>
      </c>
      <c r="N2" s="8">
        <f>M2+M3</f>
        <v>20.689655172413794</v>
      </c>
      <c r="O2" s="8">
        <f>N2+N3</f>
        <v>20.689655172413794</v>
      </c>
      <c r="P2" s="8">
        <f>O2+O3</f>
        <v>20.689655172413794</v>
      </c>
      <c r="Q2" s="8">
        <f>P2+P4</f>
        <v>41.379310344827587</v>
      </c>
      <c r="R2" s="8">
        <f>Q2+Q4</f>
        <v>41.379310344827587</v>
      </c>
      <c r="S2" s="8">
        <f>R2+R6</f>
        <v>100</v>
      </c>
      <c r="T2" s="10" t="s">
        <v>35</v>
      </c>
      <c r="U2">
        <f>(C2/100)*LOG(C2/100,2)</f>
        <v>-0.33858812011100853</v>
      </c>
      <c r="V2">
        <f>LEN(T2)</f>
        <v>3</v>
      </c>
      <c r="W2">
        <f>V2*C2/100</f>
        <v>0.31034482758620691</v>
      </c>
    </row>
    <row r="3" spans="1:23">
      <c r="A3" t="s">
        <v>6</v>
      </c>
      <c r="B3">
        <v>3</v>
      </c>
      <c r="C3">
        <f t="shared" ref="C3:D18" si="0">B3/29 * 100</f>
        <v>10.344827586206897</v>
      </c>
      <c r="D3" s="7">
        <v>10.344827586206897</v>
      </c>
      <c r="E3" s="7">
        <v>10.344827586206897</v>
      </c>
      <c r="F3" s="7">
        <v>10.344827586206897</v>
      </c>
      <c r="G3" s="7">
        <v>10.344827586206897</v>
      </c>
      <c r="H3" s="7">
        <v>10.344827586206897</v>
      </c>
      <c r="I3" s="7">
        <v>10.344827586206897</v>
      </c>
      <c r="J3" s="7">
        <v>10.344827586206897</v>
      </c>
      <c r="K3" s="7">
        <v>10.344827586206897</v>
      </c>
      <c r="L3" s="7">
        <v>10.344827586206897</v>
      </c>
      <c r="M3" s="7">
        <v>10.344827586206897</v>
      </c>
      <c r="N3" s="8"/>
      <c r="O3" s="8"/>
      <c r="P3" s="8"/>
      <c r="Q3" s="8"/>
      <c r="R3" s="8"/>
      <c r="S3" s="8"/>
      <c r="T3" s="10" t="s">
        <v>36</v>
      </c>
      <c r="U3">
        <f t="shared" ref="U3:U18" si="1">(C3/100)*LOG(C3/100,2)</f>
        <v>-0.33858812011100853</v>
      </c>
      <c r="V3">
        <f t="shared" ref="V3:V18" si="2">LEN(T3)</f>
        <v>3</v>
      </c>
      <c r="W3">
        <f t="shared" ref="W3:W18" si="3">V3*C3/100</f>
        <v>0.31034482758620691</v>
      </c>
    </row>
    <row r="4" spans="1:23">
      <c r="A4" t="s">
        <v>7</v>
      </c>
      <c r="B4">
        <v>3</v>
      </c>
      <c r="C4">
        <f t="shared" si="0"/>
        <v>10.344827586206897</v>
      </c>
      <c r="D4" s="7">
        <v>10.344827586206897</v>
      </c>
      <c r="E4" s="7">
        <v>10.344827586206897</v>
      </c>
      <c r="F4" s="7">
        <v>10.344827586206897</v>
      </c>
      <c r="G4" s="7">
        <v>10.344827586206897</v>
      </c>
      <c r="H4" s="7">
        <v>10.344827586206897</v>
      </c>
      <c r="I4" s="7">
        <v>10.344827586206897</v>
      </c>
      <c r="J4" s="7">
        <v>10.344827586206897</v>
      </c>
      <c r="K4" s="7">
        <v>10.344827586206897</v>
      </c>
      <c r="L4" s="7">
        <v>10.344827586206897</v>
      </c>
      <c r="M4" s="8">
        <f>L4+L5</f>
        <v>20.689655172413794</v>
      </c>
      <c r="N4" s="8">
        <f>M4+M5</f>
        <v>20.689655172413794</v>
      </c>
      <c r="O4" s="8">
        <f>N4+N5</f>
        <v>20.689655172413794</v>
      </c>
      <c r="P4" s="8">
        <f>O4+O5</f>
        <v>20.689655172413794</v>
      </c>
      <c r="Q4" s="8"/>
      <c r="R4" s="8"/>
      <c r="S4" s="8"/>
      <c r="T4" s="10" t="s">
        <v>37</v>
      </c>
      <c r="U4">
        <f t="shared" si="1"/>
        <v>-0.33858812011100853</v>
      </c>
      <c r="V4">
        <f t="shared" si="2"/>
        <v>3</v>
      </c>
      <c r="W4">
        <f t="shared" si="3"/>
        <v>0.31034482758620691</v>
      </c>
    </row>
    <row r="5" spans="1:23">
      <c r="A5" t="s">
        <v>10</v>
      </c>
      <c r="B5">
        <v>3</v>
      </c>
      <c r="C5">
        <f t="shared" si="0"/>
        <v>10.344827586206897</v>
      </c>
      <c r="D5" s="7">
        <v>10.344827586206897</v>
      </c>
      <c r="E5" s="7">
        <v>10.344827586206897</v>
      </c>
      <c r="F5" s="7">
        <v>10.344827586206897</v>
      </c>
      <c r="G5" s="7">
        <v>10.344827586206897</v>
      </c>
      <c r="H5" s="7">
        <v>10.344827586206897</v>
      </c>
      <c r="I5" s="7">
        <v>10.344827586206897</v>
      </c>
      <c r="J5" s="7">
        <v>10.344827586206897</v>
      </c>
      <c r="K5" s="7">
        <v>10.344827586206897</v>
      </c>
      <c r="L5" s="7">
        <v>10.344827586206897</v>
      </c>
      <c r="M5" s="8"/>
      <c r="N5" s="8"/>
      <c r="O5" s="8"/>
      <c r="P5" s="8"/>
      <c r="Q5" s="8"/>
      <c r="R5" s="8"/>
      <c r="S5" s="8"/>
      <c r="T5" s="10" t="s">
        <v>38</v>
      </c>
      <c r="U5">
        <f t="shared" si="1"/>
        <v>-0.33858812011100853</v>
      </c>
      <c r="V5">
        <f t="shared" si="2"/>
        <v>3</v>
      </c>
      <c r="W5">
        <f t="shared" si="3"/>
        <v>0.31034482758620691</v>
      </c>
    </row>
    <row r="6" spans="1:23">
      <c r="A6" t="s">
        <v>8</v>
      </c>
      <c r="B6">
        <v>2</v>
      </c>
      <c r="C6">
        <f t="shared" si="0"/>
        <v>6.8965517241379306</v>
      </c>
      <c r="D6" s="7">
        <v>6.8965517241379306</v>
      </c>
      <c r="E6" s="7">
        <v>6.8965517241379306</v>
      </c>
      <c r="F6" s="7">
        <v>6.8965517241379306</v>
      </c>
      <c r="G6" s="7">
        <v>6.8965517241379306</v>
      </c>
      <c r="H6" s="7">
        <v>6.8965517241379306</v>
      </c>
      <c r="I6" s="7">
        <v>6.8965517241379306</v>
      </c>
      <c r="J6" s="7">
        <v>6.8965517241379306</v>
      </c>
      <c r="K6" s="8">
        <f>J6+J7</f>
        <v>13.793103448275861</v>
      </c>
      <c r="L6" s="8">
        <f>K6+K7</f>
        <v>13.793103448275861</v>
      </c>
      <c r="M6" s="8">
        <f>L6+L7</f>
        <v>13.793103448275861</v>
      </c>
      <c r="N6" s="8">
        <f>M6+M7</f>
        <v>13.793103448275861</v>
      </c>
      <c r="O6" s="8">
        <f>N6+N8</f>
        <v>27.586206896551722</v>
      </c>
      <c r="P6" s="8">
        <f>O6+O8</f>
        <v>27.586206896551722</v>
      </c>
      <c r="Q6" s="8">
        <f>P6+P8</f>
        <v>27.586206896551722</v>
      </c>
      <c r="R6" s="8">
        <f>Q6+Q10</f>
        <v>58.620689655172413</v>
      </c>
      <c r="S6" s="8"/>
      <c r="T6" s="10" t="s">
        <v>39</v>
      </c>
      <c r="U6">
        <f t="shared" si="1"/>
        <v>-0.26606765483638428</v>
      </c>
      <c r="V6">
        <f t="shared" si="2"/>
        <v>4</v>
      </c>
      <c r="W6">
        <f t="shared" si="3"/>
        <v>0.27586206896551724</v>
      </c>
    </row>
    <row r="7" spans="1:23">
      <c r="A7" t="s">
        <v>9</v>
      </c>
      <c r="B7">
        <v>2</v>
      </c>
      <c r="C7">
        <f t="shared" si="0"/>
        <v>6.8965517241379306</v>
      </c>
      <c r="D7" s="7">
        <v>6.8965517241379306</v>
      </c>
      <c r="E7" s="7">
        <v>6.8965517241379306</v>
      </c>
      <c r="F7" s="7">
        <v>6.8965517241379306</v>
      </c>
      <c r="G7" s="7">
        <v>6.8965517241379306</v>
      </c>
      <c r="H7" s="7">
        <v>6.8965517241379306</v>
      </c>
      <c r="I7" s="7">
        <v>6.8965517241379306</v>
      </c>
      <c r="J7" s="7">
        <v>6.8965517241379306</v>
      </c>
      <c r="K7" s="8"/>
      <c r="L7" s="8"/>
      <c r="M7" s="8"/>
      <c r="N7" s="8"/>
      <c r="O7" s="8"/>
      <c r="P7" s="8"/>
      <c r="Q7" s="8"/>
      <c r="R7" s="8"/>
      <c r="S7" s="8"/>
      <c r="T7" s="10" t="s">
        <v>40</v>
      </c>
      <c r="U7">
        <f t="shared" si="1"/>
        <v>-0.26606765483638428</v>
      </c>
      <c r="V7">
        <f t="shared" si="2"/>
        <v>4</v>
      </c>
      <c r="W7">
        <f t="shared" si="3"/>
        <v>0.27586206896551724</v>
      </c>
    </row>
    <row r="8" spans="1:23">
      <c r="A8" t="s">
        <v>11</v>
      </c>
      <c r="B8">
        <v>2</v>
      </c>
      <c r="C8">
        <f t="shared" si="0"/>
        <v>6.8965517241379306</v>
      </c>
      <c r="D8" s="7">
        <v>6.8965517241379306</v>
      </c>
      <c r="E8" s="7">
        <v>6.8965517241379306</v>
      </c>
      <c r="F8" s="7">
        <v>6.8965517241379306</v>
      </c>
      <c r="G8" s="7">
        <v>6.8965517241379306</v>
      </c>
      <c r="H8" s="7">
        <v>6.8965517241379306</v>
      </c>
      <c r="I8" s="7">
        <v>6.8965517241379306</v>
      </c>
      <c r="J8" s="8">
        <f>I8+I9</f>
        <v>13.793103448275861</v>
      </c>
      <c r="K8" s="8">
        <f>J8+J9</f>
        <v>13.793103448275861</v>
      </c>
      <c r="L8" s="8">
        <f>K8+K9</f>
        <v>13.793103448275861</v>
      </c>
      <c r="M8" s="8">
        <f>L8+L9</f>
        <v>13.793103448275861</v>
      </c>
      <c r="N8" s="8">
        <f>M8+M9</f>
        <v>13.793103448275861</v>
      </c>
      <c r="O8" s="8"/>
      <c r="P8" s="8"/>
      <c r="Q8" s="8"/>
      <c r="R8" s="8"/>
      <c r="S8" s="8"/>
      <c r="T8" s="10" t="s">
        <v>41</v>
      </c>
      <c r="U8">
        <f t="shared" si="1"/>
        <v>-0.26606765483638428</v>
      </c>
      <c r="V8">
        <f t="shared" si="2"/>
        <v>4</v>
      </c>
      <c r="W8">
        <f t="shared" si="3"/>
        <v>0.27586206896551724</v>
      </c>
    </row>
    <row r="9" spans="1:23">
      <c r="A9" t="s">
        <v>13</v>
      </c>
      <c r="B9">
        <v>2</v>
      </c>
      <c r="C9">
        <f t="shared" si="0"/>
        <v>6.8965517241379306</v>
      </c>
      <c r="D9" s="7">
        <v>6.8965517241379306</v>
      </c>
      <c r="E9" s="7">
        <v>6.8965517241379306</v>
      </c>
      <c r="F9" s="7">
        <v>6.8965517241379306</v>
      </c>
      <c r="G9" s="7">
        <v>6.8965517241379306</v>
      </c>
      <c r="H9" s="7">
        <v>6.8965517241379306</v>
      </c>
      <c r="I9" s="7">
        <v>6.8965517241379306</v>
      </c>
      <c r="J9" s="8"/>
      <c r="K9" s="8"/>
      <c r="L9" s="8"/>
      <c r="M9" s="8"/>
      <c r="N9" s="8"/>
      <c r="O9" s="8"/>
      <c r="P9" s="8"/>
      <c r="Q9" s="8"/>
      <c r="R9" s="8"/>
      <c r="S9" s="8"/>
      <c r="T9" s="10" t="s">
        <v>42</v>
      </c>
      <c r="U9">
        <f t="shared" si="1"/>
        <v>-0.26606765483638428</v>
      </c>
      <c r="V9">
        <f t="shared" si="2"/>
        <v>4</v>
      </c>
      <c r="W9">
        <f t="shared" si="3"/>
        <v>0.27586206896551724</v>
      </c>
    </row>
    <row r="10" spans="1:23">
      <c r="A10" t="s">
        <v>3</v>
      </c>
      <c r="B10">
        <v>1</v>
      </c>
      <c r="C10">
        <f t="shared" si="0"/>
        <v>3.4482758620689653</v>
      </c>
      <c r="D10" s="7">
        <v>3.4482758620689653</v>
      </c>
      <c r="E10" s="7">
        <v>3.4482758620689653</v>
      </c>
      <c r="F10" s="7">
        <v>3.4482758620689653</v>
      </c>
      <c r="G10" s="7">
        <v>3.4482758620689653</v>
      </c>
      <c r="H10" s="8">
        <f>G10+G11</f>
        <v>10.344827586206897</v>
      </c>
      <c r="I10" s="8">
        <f>H10+H11</f>
        <v>10.344827586206897</v>
      </c>
      <c r="J10" s="8">
        <f>I10+I11</f>
        <v>10.344827586206897</v>
      </c>
      <c r="K10" s="8">
        <f>J10+J11</f>
        <v>10.344827586206897</v>
      </c>
      <c r="L10" s="8">
        <f>K10+K13</f>
        <v>17.241379310344826</v>
      </c>
      <c r="M10" s="8">
        <f>L10+L13</f>
        <v>17.241379310344826</v>
      </c>
      <c r="N10" s="8">
        <f>M10+M13</f>
        <v>17.241379310344826</v>
      </c>
      <c r="O10" s="8">
        <f>N10+N13</f>
        <v>17.241379310344826</v>
      </c>
      <c r="P10" s="8">
        <f>O10+O15</f>
        <v>31.034482758620687</v>
      </c>
      <c r="Q10" s="8">
        <f>P10+P15</f>
        <v>31.034482758620687</v>
      </c>
      <c r="R10" s="8"/>
      <c r="S10" s="8"/>
      <c r="T10" s="10" t="s">
        <v>43</v>
      </c>
      <c r="U10">
        <f t="shared" si="1"/>
        <v>-0.16751658603888181</v>
      </c>
      <c r="V10">
        <f t="shared" si="2"/>
        <v>5</v>
      </c>
      <c r="W10">
        <f t="shared" si="3"/>
        <v>0.17241379310344826</v>
      </c>
    </row>
    <row r="11" spans="1:23">
      <c r="A11" t="s">
        <v>5</v>
      </c>
      <c r="B11">
        <v>1</v>
      </c>
      <c r="C11">
        <f t="shared" si="0"/>
        <v>3.4482758620689653</v>
      </c>
      <c r="D11" s="7">
        <v>3.4482758620689653</v>
      </c>
      <c r="E11" s="7">
        <v>3.4482758620689653</v>
      </c>
      <c r="F11" s="7">
        <v>3.4482758620689653</v>
      </c>
      <c r="G11" s="8">
        <f>F11+F12</f>
        <v>6.8965517241379306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0" t="s">
        <v>44</v>
      </c>
      <c r="U11">
        <f t="shared" si="1"/>
        <v>-0.16751658603888181</v>
      </c>
      <c r="V11">
        <f t="shared" si="2"/>
        <v>6</v>
      </c>
      <c r="W11">
        <f t="shared" si="3"/>
        <v>0.20689655172413793</v>
      </c>
    </row>
    <row r="12" spans="1:23">
      <c r="A12" t="s">
        <v>12</v>
      </c>
      <c r="B12">
        <v>1</v>
      </c>
      <c r="C12">
        <f t="shared" si="0"/>
        <v>3.4482758620689653</v>
      </c>
      <c r="D12" s="7">
        <v>3.4482758620689653</v>
      </c>
      <c r="E12" s="7">
        <v>3.4482758620689653</v>
      </c>
      <c r="F12" s="7">
        <v>3.4482758620689653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0" t="s">
        <v>45</v>
      </c>
      <c r="U12">
        <f t="shared" si="1"/>
        <v>-0.16751658603888181</v>
      </c>
      <c r="V12">
        <f t="shared" si="2"/>
        <v>6</v>
      </c>
      <c r="W12">
        <f t="shared" si="3"/>
        <v>0.20689655172413793</v>
      </c>
    </row>
    <row r="13" spans="1:23">
      <c r="A13" t="s">
        <v>14</v>
      </c>
      <c r="B13">
        <v>1</v>
      </c>
      <c r="C13">
        <f t="shared" si="0"/>
        <v>3.4482758620689653</v>
      </c>
      <c r="D13" s="7">
        <v>3.4482758620689653</v>
      </c>
      <c r="E13" s="7">
        <v>3.4482758620689653</v>
      </c>
      <c r="F13" s="8">
        <f>E13+E14</f>
        <v>6.8965517241379306</v>
      </c>
      <c r="G13" s="8">
        <f>F13+F14</f>
        <v>6.8965517241379306</v>
      </c>
      <c r="H13" s="8">
        <f>G13+G14</f>
        <v>6.8965517241379306</v>
      </c>
      <c r="I13" s="8">
        <f>H13+H14</f>
        <v>6.8965517241379306</v>
      </c>
      <c r="J13" s="8">
        <f>I13+I14</f>
        <v>6.8965517241379306</v>
      </c>
      <c r="K13" s="8">
        <f>J13+J14</f>
        <v>6.8965517241379306</v>
      </c>
      <c r="L13" s="8"/>
      <c r="M13" s="8"/>
      <c r="N13" s="8"/>
      <c r="O13" s="8"/>
      <c r="P13" s="8"/>
      <c r="Q13" s="8"/>
      <c r="R13" s="8"/>
      <c r="S13" s="8"/>
      <c r="T13" s="10" t="s">
        <v>46</v>
      </c>
      <c r="U13">
        <f t="shared" si="1"/>
        <v>-0.16751658603888181</v>
      </c>
      <c r="V13">
        <f t="shared" si="2"/>
        <v>5</v>
      </c>
      <c r="W13">
        <f t="shared" si="3"/>
        <v>0.17241379310344826</v>
      </c>
    </row>
    <row r="14" spans="1:23">
      <c r="A14" t="s">
        <v>15</v>
      </c>
      <c r="B14">
        <v>1</v>
      </c>
      <c r="C14">
        <f t="shared" si="0"/>
        <v>3.4482758620689653</v>
      </c>
      <c r="D14" s="7">
        <v>3.4482758620689653</v>
      </c>
      <c r="E14" s="7">
        <v>3.4482758620689653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0" t="s">
        <v>47</v>
      </c>
      <c r="U14">
        <f t="shared" si="1"/>
        <v>-0.16751658603888181</v>
      </c>
      <c r="V14">
        <f t="shared" si="2"/>
        <v>5</v>
      </c>
      <c r="W14">
        <f t="shared" si="3"/>
        <v>0.17241379310344826</v>
      </c>
    </row>
    <row r="15" spans="1:23">
      <c r="A15" t="s">
        <v>16</v>
      </c>
      <c r="B15">
        <v>1</v>
      </c>
      <c r="C15">
        <f t="shared" si="0"/>
        <v>3.4482758620689653</v>
      </c>
      <c r="D15" s="7">
        <v>3.4482758620689653</v>
      </c>
      <c r="E15" s="8">
        <f>D15+D16</f>
        <v>6.8965517241379306</v>
      </c>
      <c r="F15" s="8">
        <f>E15+E16</f>
        <v>6.8965517241379306</v>
      </c>
      <c r="G15" s="8">
        <f>F15+F16</f>
        <v>6.8965517241379306</v>
      </c>
      <c r="H15" s="8">
        <f>G15+G16</f>
        <v>6.8965517241379306</v>
      </c>
      <c r="I15" s="8">
        <f>H15+H17</f>
        <v>13.793103448275861</v>
      </c>
      <c r="J15" s="8">
        <f>I15+I17</f>
        <v>13.793103448275861</v>
      </c>
      <c r="K15" s="8">
        <f>J15+J17</f>
        <v>13.793103448275861</v>
      </c>
      <c r="L15" s="8">
        <f>K15+K17</f>
        <v>13.793103448275861</v>
      </c>
      <c r="M15" s="8">
        <f>L15+L17</f>
        <v>13.793103448275861</v>
      </c>
      <c r="N15" s="8">
        <f>M15+M17</f>
        <v>13.793103448275861</v>
      </c>
      <c r="O15" s="8">
        <f>N15+N17</f>
        <v>13.793103448275861</v>
      </c>
      <c r="P15" s="8"/>
      <c r="Q15" s="8"/>
      <c r="R15" s="8"/>
      <c r="S15" s="8"/>
      <c r="T15" s="10" t="s">
        <v>48</v>
      </c>
      <c r="U15">
        <f t="shared" si="1"/>
        <v>-0.16751658603888181</v>
      </c>
      <c r="V15">
        <f t="shared" si="2"/>
        <v>5</v>
      </c>
      <c r="W15">
        <f t="shared" si="3"/>
        <v>0.17241379310344826</v>
      </c>
    </row>
    <row r="16" spans="1:23">
      <c r="A16" t="s">
        <v>17</v>
      </c>
      <c r="B16">
        <v>1</v>
      </c>
      <c r="C16">
        <f t="shared" si="0"/>
        <v>3.4482758620689653</v>
      </c>
      <c r="D16" s="7">
        <v>3.4482758620689653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10" t="s">
        <v>49</v>
      </c>
      <c r="U16">
        <f t="shared" si="1"/>
        <v>-0.16751658603888181</v>
      </c>
      <c r="V16">
        <f t="shared" si="2"/>
        <v>5</v>
      </c>
      <c r="W16">
        <f t="shared" si="3"/>
        <v>0.17241379310344826</v>
      </c>
    </row>
    <row r="17" spans="1:23">
      <c r="A17" t="s">
        <v>18</v>
      </c>
      <c r="B17">
        <v>1</v>
      </c>
      <c r="C17">
        <f t="shared" si="0"/>
        <v>3.4482758620689653</v>
      </c>
      <c r="D17" s="8">
        <f>C17+C18</f>
        <v>6.8965517241379306</v>
      </c>
      <c r="E17" s="8">
        <f>D17+D18</f>
        <v>6.8965517241379306</v>
      </c>
      <c r="F17" s="8">
        <f>E17+E18</f>
        <v>6.8965517241379306</v>
      </c>
      <c r="G17" s="8">
        <f>F17+F18</f>
        <v>6.8965517241379306</v>
      </c>
      <c r="H17" s="8">
        <f>G17+G18</f>
        <v>6.8965517241379306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10" t="s">
        <v>50</v>
      </c>
      <c r="U17">
        <f t="shared" si="1"/>
        <v>-0.16751658603888181</v>
      </c>
      <c r="V17">
        <f t="shared" si="2"/>
        <v>5</v>
      </c>
      <c r="W17">
        <f t="shared" si="3"/>
        <v>0.17241379310344826</v>
      </c>
    </row>
    <row r="18" spans="1:23">
      <c r="A18" t="s">
        <v>19</v>
      </c>
      <c r="B18">
        <v>1</v>
      </c>
      <c r="C18">
        <f t="shared" si="0"/>
        <v>3.4482758620689653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10" t="s">
        <v>51</v>
      </c>
      <c r="U18">
        <f t="shared" si="1"/>
        <v>-0.16751658603888181</v>
      </c>
      <c r="V18">
        <f t="shared" si="2"/>
        <v>5</v>
      </c>
      <c r="W18">
        <f t="shared" si="3"/>
        <v>0.17241379310344826</v>
      </c>
    </row>
    <row r="19" spans="1:23">
      <c r="U19">
        <f>-SUM(U2:U18)</f>
        <v>3.9262723741395078</v>
      </c>
      <c r="W19">
        <f>SUM(W2:W18)</f>
        <v>3.9655172413793114</v>
      </c>
    </row>
  </sheetData>
  <mergeCells count="57">
    <mergeCell ref="R2:R5"/>
    <mergeCell ref="R6:R18"/>
    <mergeCell ref="S2:S18"/>
    <mergeCell ref="D1:S1"/>
    <mergeCell ref="P2:P3"/>
    <mergeCell ref="P4:P5"/>
    <mergeCell ref="P6:P9"/>
    <mergeCell ref="P10:P18"/>
    <mergeCell ref="Q2:Q5"/>
    <mergeCell ref="Q6:Q9"/>
    <mergeCell ref="Q10:Q18"/>
    <mergeCell ref="O2:O3"/>
    <mergeCell ref="O4:O5"/>
    <mergeCell ref="O6:O9"/>
    <mergeCell ref="O10:O14"/>
    <mergeCell ref="O15:O18"/>
    <mergeCell ref="N2:N3"/>
    <mergeCell ref="M6:M7"/>
    <mergeCell ref="M8:M9"/>
    <mergeCell ref="M10:M14"/>
    <mergeCell ref="M15:M18"/>
    <mergeCell ref="N4:N5"/>
    <mergeCell ref="N6:N7"/>
    <mergeCell ref="N8:N9"/>
    <mergeCell ref="N10:N14"/>
    <mergeCell ref="N15:N18"/>
    <mergeCell ref="L10:L14"/>
    <mergeCell ref="L6:L7"/>
    <mergeCell ref="L8:L9"/>
    <mergeCell ref="L15:L18"/>
    <mergeCell ref="M4:M5"/>
    <mergeCell ref="K6:K7"/>
    <mergeCell ref="K8:K9"/>
    <mergeCell ref="K10:K12"/>
    <mergeCell ref="K13:K14"/>
    <mergeCell ref="K15:K18"/>
    <mergeCell ref="I10:I12"/>
    <mergeCell ref="I13:I14"/>
    <mergeCell ref="J15:J18"/>
    <mergeCell ref="J8:J9"/>
    <mergeCell ref="J10:J12"/>
    <mergeCell ref="J13:J14"/>
    <mergeCell ref="D17:D18"/>
    <mergeCell ref="E15:E16"/>
    <mergeCell ref="E17:E18"/>
    <mergeCell ref="F13:F14"/>
    <mergeCell ref="F15:F16"/>
    <mergeCell ref="F17:F18"/>
    <mergeCell ref="G13:G14"/>
    <mergeCell ref="G15:G16"/>
    <mergeCell ref="G17:G18"/>
    <mergeCell ref="G11:G12"/>
    <mergeCell ref="H10:H12"/>
    <mergeCell ref="H13:H14"/>
    <mergeCell ref="H15:H16"/>
    <mergeCell ref="H17:H18"/>
    <mergeCell ref="I15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2026-05-04T08:48:09Z</dcterms:created>
  <dcterms:modified xsi:type="dcterms:W3CDTF">2026-05-04T15:12:31Z</dcterms:modified>
  <cp:category/>
  <cp:contentStatus/>
</cp:coreProperties>
</file>