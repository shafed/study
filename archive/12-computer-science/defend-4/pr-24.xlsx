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2"/>
  <workbookPr/>
  <xr:revisionPtr revIDLastSave="0" documentId="8_{802000AB-A640-424E-AA30-5406371FDE7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Лист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<sst xmlns="http://schemas.openxmlformats.org/spreadsheetml/2006/main" count="18" uniqueCount="18">
  <si>
    <t>RANDBETWEEN(1,100)</t>
  </si>
  <si>
    <t>Mean</t>
  </si>
  <si>
    <t>Standard Error</t>
  </si>
  <si>
    <t>Mode</t>
  </si>
  <si>
    <t>Median</t>
  </si>
  <si>
    <t>First Quartile</t>
  </si>
  <si>
    <t>Third Quartile</t>
  </si>
  <si>
    <t>Variance</t>
  </si>
  <si>
    <t>Standard Deviation</t>
  </si>
  <si>
    <t>Kurtosis</t>
  </si>
  <si>
    <t>Skewness</t>
  </si>
  <si>
    <t>Range</t>
  </si>
  <si>
    <t>Minimum</t>
  </si>
  <si>
    <t>Maximum</t>
  </si>
  <si>
    <t>Sum</t>
  </si>
  <si>
    <t>Count</t>
  </si>
  <si>
    <t>Наименьший(2)</t>
  </si>
  <si>
    <t>Наибольший(2)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</si>
</sst>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zoomScaleNormal="100" workbookViewId="0">
      <selection activeCell="E1" sqref="E1"/>
    </sheetView>
  </sheetViews>
  <sheetFormatPr defaultColWidth="8.7109375" defaultRowHeight="15"/>
  <cols>
    <col min="2" max="2" width="21.140625" customWidth="1"/>
    <col min="4" max="4" width="17.5703125" customWidth="1"/>
    <col min="5" max="5" width="20.5703125" customWidth="1"/>
  </cols>
  <sheetData>
    <row r="1" spans="1:5">
      <c r="A1">
        <v>81</v>
      </c>
      <c r="B1" t="s">
        <v>0</v>
      </c>
      <c r="E1" s="1"/>
    </row>
    <row r="2" spans="1:5">
      <c r="A2">
        <v>77</v>
      </c>
      <c r="D2" t="s">
        <v>1</v>
      </c>
      <c r="E2">
        <f>AVERAGE($A$1:$A$100)</f>
        <v>51.85</v>
      </c>
    </row>
    <row r="3" spans="1:5">
      <c r="A3">
        <v>89</v>
      </c>
      <c r="D3" t="s">
        <v>2</v>
      </c>
      <c r="E3">
        <f>SQRT(VAR($A$1:$A$100)/COUNT($A$1:$A$100))</f>
        <v>2.7849659519526182</v>
      </c>
    </row>
    <row r="4" spans="1:5">
      <c r="A4">
        <v>19</v>
      </c>
      <c r="D4" t="s">
        <v>3</v>
      </c>
      <c r="E4">
        <f>MODE($A$1:$A$100)</f>
        <v>19</v>
      </c>
    </row>
    <row r="5" spans="1:5">
      <c r="A5">
        <v>86</v>
      </c>
      <c r="D5" t="s">
        <v>4</v>
      </c>
      <c r="E5">
        <f>MEDIAN($A$1:$A$100)</f>
        <v>54</v>
      </c>
    </row>
    <row r="6" spans="1:5">
      <c r="A6">
        <v>37</v>
      </c>
      <c r="D6" t="s">
        <v>5</v>
      </c>
      <c r="E6">
        <f>QUARTILE($A$1:$A$100, 1)</f>
        <v>30.75</v>
      </c>
    </row>
    <row r="7" spans="1:5">
      <c r="A7">
        <v>68</v>
      </c>
      <c r="D7" t="s">
        <v>6</v>
      </c>
      <c r="E7">
        <f>QUARTILE($A$1:$A$100, 3)</f>
        <v>77</v>
      </c>
    </row>
    <row r="8" spans="1:5">
      <c r="A8">
        <v>69</v>
      </c>
      <c r="D8" t="s">
        <v>7</v>
      </c>
      <c r="E8">
        <f>VAR($A$1:$A$100)</f>
        <v>775.60353535353534</v>
      </c>
    </row>
    <row r="9" spans="1:5">
      <c r="A9">
        <v>7</v>
      </c>
      <c r="D9" t="s">
        <v>8</v>
      </c>
      <c r="E9">
        <f>STDEV($A$1:$A$100)</f>
        <v>27.849659519526181</v>
      </c>
    </row>
    <row r="10" spans="1:5">
      <c r="A10">
        <v>2</v>
      </c>
      <c r="D10" t="s">
        <v>9</v>
      </c>
      <c r="E10">
        <f>KURT($A$1:$A$100)</f>
        <v>-1.0937559477842465</v>
      </c>
    </row>
    <row r="11" spans="1:5">
      <c r="A11">
        <v>98</v>
      </c>
      <c r="D11" t="s">
        <v>10</v>
      </c>
      <c r="E11">
        <f>SKEW($A$1:$A$100)</f>
        <v>-3.9019451205520965E-2</v>
      </c>
    </row>
    <row r="12" spans="1:5">
      <c r="A12">
        <v>24</v>
      </c>
      <c r="D12" t="s">
        <v>11</v>
      </c>
      <c r="E12">
        <f>MAX($A$1:$A$100)-MIN($A$1:$A$100)</f>
        <v>98</v>
      </c>
    </row>
    <row r="13" spans="1:5">
      <c r="A13">
        <v>33</v>
      </c>
      <c r="D13" t="s">
        <v>12</v>
      </c>
      <c r="E13">
        <f>MIN($A$1:$A$100)</f>
        <v>2</v>
      </c>
    </row>
    <row r="14" spans="1:5">
      <c r="A14">
        <v>23</v>
      </c>
      <c r="D14" t="s">
        <v>13</v>
      </c>
      <c r="E14">
        <f>MAX($A$1:$A$100)</f>
        <v>100</v>
      </c>
    </row>
    <row r="15" spans="1:5">
      <c r="A15">
        <v>52</v>
      </c>
      <c r="D15" t="s">
        <v>14</v>
      </c>
      <c r="E15">
        <f>SUM($A$1:$A$100)</f>
        <v>5185</v>
      </c>
    </row>
    <row r="16" spans="1:5">
      <c r="A16">
        <v>91</v>
      </c>
      <c r="D16" t="s">
        <v>15</v>
      </c>
      <c r="E16">
        <f>COUNT($A$1:$A$100)</f>
        <v>100</v>
      </c>
    </row>
    <row r="17" spans="1:5">
      <c r="A17">
        <v>99</v>
      </c>
      <c r="D17" t="s">
        <v>16</v>
      </c>
      <c r="E17">
        <f>SMALL(A1:A100,2)</f>
        <v>2</v>
      </c>
    </row>
    <row r="18" spans="1:5">
      <c r="A18">
        <v>53</v>
      </c>
      <c r="D18" t="s">
        <v>17</v>
      </c>
      <c r="E18">
        <f>LARGE(A1:A100,2)</f>
        <v>99</v>
      </c>
    </row>
    <row r="19" spans="1:5">
      <c r="A19">
        <v>56</v>
      </c>
    </row>
    <row r="20" spans="1:5">
      <c r="A20">
        <v>87</v>
      </c>
    </row>
    <row r="21" spans="1:5">
      <c r="A21">
        <v>47</v>
      </c>
    </row>
    <row r="22" spans="1:5">
      <c r="A22">
        <v>17</v>
      </c>
    </row>
    <row r="23" spans="1:5">
      <c r="A23">
        <v>19</v>
      </c>
    </row>
    <row r="24" spans="1:5">
      <c r="A24">
        <v>77</v>
      </c>
    </row>
    <row r="25" spans="1:5">
      <c r="A25">
        <v>13</v>
      </c>
    </row>
    <row r="26" spans="1:5">
      <c r="A26">
        <v>5</v>
      </c>
    </row>
    <row r="27" spans="1:5">
      <c r="A27">
        <v>56</v>
      </c>
    </row>
    <row r="28" spans="1:5">
      <c r="A28">
        <v>58</v>
      </c>
    </row>
    <row r="29" spans="1:5">
      <c r="A29">
        <v>36</v>
      </c>
    </row>
    <row r="30" spans="1:5">
      <c r="A30">
        <v>61</v>
      </c>
    </row>
    <row r="31" spans="1:5">
      <c r="A31">
        <v>61</v>
      </c>
    </row>
    <row r="32" spans="1:5">
      <c r="A32">
        <v>8</v>
      </c>
    </row>
    <row r="33" spans="1:1">
      <c r="A33">
        <v>78</v>
      </c>
    </row>
    <row r="34" spans="1:1">
      <c r="A34">
        <v>34</v>
      </c>
    </row>
    <row r="35" spans="1:1">
      <c r="A35">
        <v>38</v>
      </c>
    </row>
    <row r="36" spans="1:1">
      <c r="A36">
        <v>2</v>
      </c>
    </row>
    <row r="37" spans="1:1">
      <c r="A37">
        <v>61</v>
      </c>
    </row>
    <row r="38" spans="1:1">
      <c r="A38">
        <v>94</v>
      </c>
    </row>
    <row r="39" spans="1:1">
      <c r="A39">
        <v>20</v>
      </c>
    </row>
    <row r="40" spans="1:1">
      <c r="A40">
        <v>44</v>
      </c>
    </row>
    <row r="41" spans="1:1">
      <c r="A41">
        <v>59</v>
      </c>
    </row>
    <row r="42" spans="1:1">
      <c r="A42">
        <v>87</v>
      </c>
    </row>
    <row r="43" spans="1:1">
      <c r="A43">
        <v>10</v>
      </c>
    </row>
    <row r="44" spans="1:1">
      <c r="A44">
        <v>73</v>
      </c>
    </row>
    <row r="45" spans="1:1">
      <c r="A45">
        <v>30</v>
      </c>
    </row>
    <row r="46" spans="1:1">
      <c r="A46">
        <v>54</v>
      </c>
    </row>
    <row r="47" spans="1:1">
      <c r="A47">
        <v>81</v>
      </c>
    </row>
    <row r="48" spans="1:1">
      <c r="A48">
        <v>35</v>
      </c>
    </row>
    <row r="49" spans="1:1">
      <c r="A49">
        <v>54</v>
      </c>
    </row>
    <row r="50" spans="1:1">
      <c r="A50">
        <v>40</v>
      </c>
    </row>
    <row r="51" spans="1:1">
      <c r="A51">
        <v>96</v>
      </c>
    </row>
    <row r="52" spans="1:1">
      <c r="A52">
        <v>64</v>
      </c>
    </row>
    <row r="53" spans="1:1">
      <c r="A53">
        <v>93</v>
      </c>
    </row>
    <row r="54" spans="1:1">
      <c r="A54">
        <v>35</v>
      </c>
    </row>
    <row r="55" spans="1:1">
      <c r="A55">
        <v>56</v>
      </c>
    </row>
    <row r="56" spans="1:1">
      <c r="A56">
        <v>27</v>
      </c>
    </row>
    <row r="57" spans="1:1">
      <c r="A57">
        <v>85</v>
      </c>
    </row>
    <row r="58" spans="1:1">
      <c r="A58">
        <v>45</v>
      </c>
    </row>
    <row r="59" spans="1:1">
      <c r="A59">
        <v>73</v>
      </c>
    </row>
    <row r="60" spans="1:1">
      <c r="A60">
        <v>19</v>
      </c>
    </row>
    <row r="61" spans="1:1">
      <c r="A61">
        <v>44</v>
      </c>
    </row>
    <row r="62" spans="1:1">
      <c r="A62">
        <v>44</v>
      </c>
    </row>
    <row r="63" spans="1:1">
      <c r="A63">
        <v>49</v>
      </c>
    </row>
    <row r="64" spans="1:1">
      <c r="A64">
        <v>41</v>
      </c>
    </row>
    <row r="65" spans="1:1">
      <c r="A65">
        <v>62</v>
      </c>
    </row>
    <row r="66" spans="1:1">
      <c r="A66">
        <v>60</v>
      </c>
    </row>
    <row r="67" spans="1:1">
      <c r="A67">
        <v>63</v>
      </c>
    </row>
    <row r="68" spans="1:1">
      <c r="A68">
        <v>34</v>
      </c>
    </row>
    <row r="69" spans="1:1">
      <c r="A69">
        <v>11</v>
      </c>
    </row>
    <row r="70" spans="1:1">
      <c r="A70">
        <v>19</v>
      </c>
    </row>
    <row r="71" spans="1:1">
      <c r="A71">
        <v>11</v>
      </c>
    </row>
    <row r="72" spans="1:1">
      <c r="A72">
        <v>35</v>
      </c>
    </row>
    <row r="73" spans="1:1">
      <c r="A73">
        <v>73</v>
      </c>
    </row>
    <row r="74" spans="1:1">
      <c r="A74">
        <v>98</v>
      </c>
    </row>
    <row r="75" spans="1:1">
      <c r="A75">
        <v>3</v>
      </c>
    </row>
    <row r="76" spans="1:1">
      <c r="A76">
        <v>92</v>
      </c>
    </row>
    <row r="77" spans="1:1">
      <c r="A77">
        <v>31</v>
      </c>
    </row>
    <row r="78" spans="1:1">
      <c r="A78">
        <v>87</v>
      </c>
    </row>
    <row r="79" spans="1:1">
      <c r="A79">
        <v>25</v>
      </c>
    </row>
    <row r="80" spans="1:1">
      <c r="A80">
        <v>79</v>
      </c>
    </row>
    <row r="81" spans="1:1">
      <c r="A81">
        <v>33</v>
      </c>
    </row>
    <row r="82" spans="1:1">
      <c r="A82">
        <v>34</v>
      </c>
    </row>
    <row r="83" spans="1:1">
      <c r="A83">
        <v>60</v>
      </c>
    </row>
    <row r="84" spans="1:1">
      <c r="A84">
        <v>92</v>
      </c>
    </row>
    <row r="85" spans="1:1">
      <c r="A85">
        <v>78</v>
      </c>
    </row>
    <row r="86" spans="1:1">
      <c r="A86">
        <v>100</v>
      </c>
    </row>
    <row r="87" spans="1:1">
      <c r="A87">
        <v>77</v>
      </c>
    </row>
    <row r="88" spans="1:1">
      <c r="A88">
        <v>64</v>
      </c>
    </row>
    <row r="89" spans="1:1">
      <c r="A89">
        <v>29</v>
      </c>
    </row>
    <row r="90" spans="1:1">
      <c r="A90">
        <v>33</v>
      </c>
    </row>
    <row r="91" spans="1:1">
      <c r="A91">
        <v>15</v>
      </c>
    </row>
    <row r="92" spans="1:1">
      <c r="A92">
        <v>82</v>
      </c>
    </row>
    <row r="93" spans="1:1">
      <c r="A93">
        <v>30</v>
      </c>
    </row>
    <row r="94" spans="1:1">
      <c r="A94">
        <v>49</v>
      </c>
    </row>
    <row r="95" spans="1:1">
      <c r="A95">
        <v>63</v>
      </c>
    </row>
    <row r="96" spans="1:1">
      <c r="A96">
        <v>86</v>
      </c>
    </row>
    <row r="97" spans="1:1">
      <c r="A97">
        <v>64</v>
      </c>
    </row>
    <row r="98" spans="1:1">
      <c r="A98">
        <v>7</v>
      </c>
    </row>
    <row r="99" spans="1:1">
      <c r="A99">
        <v>74</v>
      </c>
    </row>
    <row r="100" spans="1:1">
      <c r="A100">
        <v>58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2026-05-04T08:24:34Z</dcterms:created>
  <dcterms:modified xsi:type="dcterms:W3CDTF">2026-05-04T08:44:54Z</dcterms:modified>
  <cp:category/>
  <cp:contentStatus/>
</cp:coreProperties>
</file>