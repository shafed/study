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28F40E7E-7C71-428D-B7EF-46BCCE01BD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definedNames>
    <definedName name="_xlnm._FilterDatabase" localSheetId="0" hidden="1">Лист1!$A$1:$M$11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E11" i="1"/>
  <c r="J2" i="1"/>
  <c r="J3" i="1"/>
  <c r="J4" i="1"/>
  <c r="J5" i="1"/>
  <c r="J6" i="1"/>
  <c r="J7" i="1"/>
  <c r="J8" i="1"/>
  <c r="J9" i="1"/>
  <c r="J10" i="1"/>
  <c r="F11" i="1"/>
  <c r="G11" i="1"/>
  <c r="H11" i="1"/>
  <c r="I11" i="1"/>
  <c r="J11" i="1"/>
  <c r="M10" i="1" s="1"/>
  <c r="M6" i="1"/>
  <c r="M5" i="1"/>
  <c r="M4" i="1"/>
  <c r="M3" i="1"/>
  <c r="M2" i="1"/>
  <c r="M9" i="1" l="1"/>
  <c r="M8" i="1"/>
  <c r="K10" i="1"/>
  <c r="K9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<sst xmlns="http://schemas.openxmlformats.org/spreadsheetml/2006/main" count="49" uniqueCount="43">
  <si>
    <t>Фамилия</t>
  </si>
  <si>
    <t>Имя</t>
  </si>
  <si>
    <t>Дата рождения</t>
  </si>
  <si>
    <t>№ группы</t>
  </si>
  <si>
    <t>Математика</t>
  </si>
  <si>
    <t>История</t>
  </si>
  <si>
    <t>Информатика</t>
  </si>
  <si>
    <t>Физика</t>
  </si>
  <si>
    <t>Химия</t>
  </si>
  <si>
    <t>Ср. балл</t>
  </si>
  <si>
    <t>Ниже среднего</t>
  </si>
  <si>
    <t>Предмет</t>
  </si>
  <si>
    <t>Ср. оценка</t>
  </si>
  <si>
    <t>Жукова</t>
  </si>
  <si>
    <t>Екатерина</t>
  </si>
  <si>
    <t>16.02.1986</t>
  </si>
  <si>
    <t>Сулов</t>
  </si>
  <si>
    <t>Андрей</t>
  </si>
  <si>
    <t>25.10.1987</t>
  </si>
  <si>
    <t>Самойлов</t>
  </si>
  <si>
    <t>Дмитрий</t>
  </si>
  <si>
    <t>20.11.1987</t>
  </si>
  <si>
    <t>Данилов</t>
  </si>
  <si>
    <t>Александр</t>
  </si>
  <si>
    <t>12.12.1987</t>
  </si>
  <si>
    <t>Валеев</t>
  </si>
  <si>
    <t>Даниэль</t>
  </si>
  <si>
    <t>19.02.1988</t>
  </si>
  <si>
    <t>Андреева</t>
  </si>
  <si>
    <t>Юлия</t>
  </si>
  <si>
    <t>12.04.1988</t>
  </si>
  <si>
    <t>Рахий</t>
  </si>
  <si>
    <t>Ирина</t>
  </si>
  <si>
    <t>27.04.1988</t>
  </si>
  <si>
    <t>Худший предмет:</t>
  </si>
  <si>
    <t>Стречен</t>
  </si>
  <si>
    <t>26.12.1988</t>
  </si>
  <si>
    <t>Мин. средняя оценка:</t>
  </si>
  <si>
    <t>Волкова</t>
  </si>
  <si>
    <t>Анна</t>
  </si>
  <si>
    <t>17.06.1989</t>
  </si>
  <si>
    <t>Общий средний балл:</t>
  </si>
  <si>
    <t>Ср. балл: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</si>
</sst>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37562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0" fillId="0" borderId="0" xfId="0" applyFont="1"/>
    <xf numFmtId="0" fontId="1" fillId="0" borderId="0" xfId="0" applyFont="1"/>
    <xf numFmtId="0" fontId="0" fillId="0" borderId="16" xfId="0" applyBorder="1"/>
    <xf numFmtId="0" fontId="1" fillId="2" borderId="0" xfId="0" applyFont="1" applyFill="1"/>
    <xf numFmtId="0" fontId="2" fillId="2" borderId="0" xfId="0" applyFont="1" applyFill="1"/>
    <xf numFmtId="2" fontId="3" fillId="2" borderId="0" xfId="0" applyNumberFormat="1" applyFont="1" applyFill="1"/>
    <xf numFmtId="0" fontId="1" fillId="3" borderId="0" xfId="0" applyFont="1" applyFill="1"/>
    <xf numFmtId="2" fontId="4" fillId="3" borderId="0" xfId="0" applyNumberFormat="1" applyFont="1" applyFill="1"/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Обычный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Средняя успеваемость студентов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Ср. балл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Лист1!$A$2:$A$10</c:f>
              <c:strCache>
                <c:ptCount val="9"/>
                <c:pt idx="0">
                  <c:v>Жукова</c:v>
                </c:pt>
                <c:pt idx="1">
                  <c:v>Сулов</c:v>
                </c:pt>
                <c:pt idx="2">
                  <c:v>Самойлов</c:v>
                </c:pt>
                <c:pt idx="3">
                  <c:v>Данилов</c:v>
                </c:pt>
                <c:pt idx="4">
                  <c:v>Валеев</c:v>
                </c:pt>
                <c:pt idx="5">
                  <c:v>Андреева</c:v>
                </c:pt>
                <c:pt idx="6">
                  <c:v>Рахий</c:v>
                </c:pt>
                <c:pt idx="7">
                  <c:v>Стречен</c:v>
                </c:pt>
                <c:pt idx="8">
                  <c:v>Волкова</c:v>
                </c:pt>
              </c:strCache>
            </c:strRef>
          </c:cat>
          <c:val>
            <c:numRef>
              <c:f>Лист1!$J$2:$J$10</c:f>
              <c:numCache>
                <c:formatCode>General</c:formatCode>
                <c:ptCount val="9"/>
                <c:pt idx="0">
                  <c:v>8.1999999999999993</c:v>
                </c:pt>
                <c:pt idx="1">
                  <c:v>8.4</c:v>
                </c:pt>
                <c:pt idx="2">
                  <c:v>8.4</c:v>
                </c:pt>
                <c:pt idx="3">
                  <c:v>8.4</c:v>
                </c:pt>
                <c:pt idx="4">
                  <c:v>7.4</c:v>
                </c:pt>
                <c:pt idx="5">
                  <c:v>5.2</c:v>
                </c:pt>
                <c:pt idx="6">
                  <c:v>6.4</c:v>
                </c:pt>
                <c:pt idx="7">
                  <c:v>5</c:v>
                </c:pt>
                <c:pt idx="8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8-415E-8E57-09A0816C4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33544"/>
        <c:axId val="1895710728"/>
      </c:barChart>
      <c:catAx>
        <c:axId val="1895233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Студент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10728"/>
        <c:crosses val="autoZero"/>
        <c:auto val="1"/>
        <c:lblAlgn val="ctr"/>
        <c:lblOffset val="100"/>
        <c:noMultiLvlLbl val="0"/>
      </c:catAx>
      <c:valAx>
        <c:axId val="189571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Средний балл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Средняя оценка по предметам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43-4906-8CCB-BC73832BCD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43-4906-8CCB-BC73832BCD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43-4906-8CCB-BC73832BCD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43-4906-8CCB-BC73832BCD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43-4906-8CCB-BC73832BCD73}"/>
              </c:ext>
            </c:extLst>
          </c:dPt>
          <c:cat>
            <c:strRef>
              <c:f>Лист1!$E$1:$I$1</c:f>
              <c:strCache>
                <c:ptCount val="5"/>
                <c:pt idx="0">
                  <c:v>Математика</c:v>
                </c:pt>
                <c:pt idx="1">
                  <c:v>История</c:v>
                </c:pt>
                <c:pt idx="2">
                  <c:v>Информатика</c:v>
                </c:pt>
                <c:pt idx="3">
                  <c:v>Физика</c:v>
                </c:pt>
                <c:pt idx="4">
                  <c:v>Химия</c:v>
                </c:pt>
              </c:strCache>
            </c:strRef>
          </c:cat>
          <c:val>
            <c:numRef>
              <c:f>Лист1!$E$11:$I$11</c:f>
              <c:numCache>
                <c:formatCode>General</c:formatCode>
                <c:ptCount val="5"/>
                <c:pt idx="0">
                  <c:v>7.2222222222222223</c:v>
                </c:pt>
                <c:pt idx="1">
                  <c:v>8.2222222222222214</c:v>
                </c:pt>
                <c:pt idx="2">
                  <c:v>7.5555555555555554</c:v>
                </c:pt>
                <c:pt idx="3">
                  <c:v>6.5555555555555554</c:v>
                </c:pt>
                <c:pt idx="4">
                  <c:v>6.333333333333333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0-4D8B-A145-75E4F584A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2" name="СреднийБаллСтудентов">
          <a:extLst>
            <a:ext uri="{FF2B5EF4-FFF2-40B4-BE49-F238E27FC236}">
              <a16:creationId xmlns:a16="http://schemas.microsoft.com/office/drawing/2014/main" id="{32C2B5A2-4FD7-BC98-0666-C19BFCD03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876300</xdr:colOff>
      <xdr:row>11</xdr:row>
      <xdr:rowOff>180975</xdr:rowOff>
    </xdr:from>
    <xdr:to>
      <xdr:col>13</xdr:col>
      <xdr:colOff>209550</xdr:colOff>
      <xdr:row>27</xdr:row>
      <xdr:rowOff>161925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C77F271-A5E8-A9B9-8DC8-F3BF5B9EFADD}"/>
            </a:ext>
            <a:ext uri="{147F2762-F138-4A5C-976F-8EAC2B608ADB}">
              <a16:predDERef xmlns:a16="http://schemas.microsoft.com/office/drawing/2014/main" pred="{32C2B5A2-4FD7-BC98-0666-C19BFCD03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FCC22D-2220-4C72-9547-5A9CB9ACFD4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88d9420-4c81-41e3-a9bc-04aa6a72ed5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D1" workbookViewId="0">
      <selection activeCell="E11" sqref="E11:I11"/>
    </sheetView>
  </sheetViews>
  <sheetFormatPr defaultRowHeight="15"/>
  <cols>
    <col min="1" max="2" width="17.140625" customWidth="1"/>
    <col min="3" max="3" width="19" customWidth="1"/>
    <col min="4" max="4" width="14.28515625" customWidth="1"/>
    <col min="5" max="5" width="16.140625" customWidth="1"/>
    <col min="6" max="6" width="13.28515625" customWidth="1"/>
    <col min="7" max="7" width="16.140625" customWidth="1"/>
    <col min="8" max="8" width="13.28515625" customWidth="1"/>
    <col min="9" max="9" width="12.42578125" customWidth="1"/>
    <col min="10" max="10" width="14.28515625" customWidth="1"/>
    <col min="12" max="13" width="0" hidden="1" customWidth="1"/>
  </cols>
  <sheetData>
    <row r="1" spans="1:13" ht="30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5" t="s">
        <v>9</v>
      </c>
      <c r="K1" s="17" t="s">
        <v>10</v>
      </c>
      <c r="L1" t="s">
        <v>11</v>
      </c>
      <c r="M1" t="s">
        <v>12</v>
      </c>
    </row>
    <row r="2" spans="1:13" ht="21.75" customHeight="1">
      <c r="A2" s="3" t="s">
        <v>13</v>
      </c>
      <c r="B2" s="3" t="s">
        <v>14</v>
      </c>
      <c r="C2" s="3" t="s">
        <v>15</v>
      </c>
      <c r="D2" s="3">
        <v>4569</v>
      </c>
      <c r="E2" s="3">
        <v>10</v>
      </c>
      <c r="F2" s="3">
        <v>10</v>
      </c>
      <c r="G2" s="3">
        <v>10</v>
      </c>
      <c r="H2" s="3">
        <v>5</v>
      </c>
      <c r="I2" s="2">
        <v>6</v>
      </c>
      <c r="J2" s="8">
        <f>AVERAGE(E2:I2)</f>
        <v>8.1999999999999993</v>
      </c>
      <c r="K2" s="16" t="str">
        <f>IF(J2&lt;$J$11,"Да","")</f>
        <v/>
      </c>
      <c r="L2" t="s">
        <v>4</v>
      </c>
      <c r="M2">
        <f>AVERAGE(E2:E10)</f>
        <v>7.2222222222222223</v>
      </c>
    </row>
    <row r="3" spans="1:13" ht="21.75" customHeight="1">
      <c r="A3" s="4" t="s">
        <v>16</v>
      </c>
      <c r="B3" s="4" t="s">
        <v>17</v>
      </c>
      <c r="C3" s="4" t="s">
        <v>18</v>
      </c>
      <c r="D3" s="4">
        <v>5433</v>
      </c>
      <c r="E3" s="4">
        <v>11</v>
      </c>
      <c r="F3" s="4">
        <v>8</v>
      </c>
      <c r="G3" s="4">
        <v>10</v>
      </c>
      <c r="H3" s="4">
        <v>7</v>
      </c>
      <c r="I3" s="1">
        <v>6</v>
      </c>
      <c r="J3" s="9">
        <f t="shared" ref="J3:J10" si="0">AVERAGE(E3:I3)</f>
        <v>8.4</v>
      </c>
      <c r="K3" s="16" t="str">
        <f t="shared" ref="K3:K10" si="1">IF(J3&lt;$J$11,"Да","")</f>
        <v/>
      </c>
      <c r="L3" t="s">
        <v>5</v>
      </c>
      <c r="M3">
        <f>AVERAGE(F2:F10)</f>
        <v>8.2222222222222214</v>
      </c>
    </row>
    <row r="4" spans="1:13" ht="21.75" customHeight="1">
      <c r="A4" s="4" t="s">
        <v>19</v>
      </c>
      <c r="B4" s="4" t="s">
        <v>20</v>
      </c>
      <c r="C4" s="4" t="s">
        <v>21</v>
      </c>
      <c r="D4" s="4">
        <v>4569</v>
      </c>
      <c r="E4" s="4">
        <v>9</v>
      </c>
      <c r="F4" s="4">
        <v>9</v>
      </c>
      <c r="G4" s="4">
        <v>5</v>
      </c>
      <c r="H4" s="4">
        <v>11</v>
      </c>
      <c r="I4" s="1">
        <v>8</v>
      </c>
      <c r="J4" s="9">
        <f t="shared" si="0"/>
        <v>8.4</v>
      </c>
      <c r="K4" s="16" t="str">
        <f t="shared" si="1"/>
        <v/>
      </c>
      <c r="L4" t="s">
        <v>6</v>
      </c>
      <c r="M4">
        <f>AVERAGE(G2:G10)</f>
        <v>7.5555555555555554</v>
      </c>
    </row>
    <row r="5" spans="1:13" ht="21.75" customHeight="1">
      <c r="A5" s="4" t="s">
        <v>22</v>
      </c>
      <c r="B5" s="4" t="s">
        <v>23</v>
      </c>
      <c r="C5" s="4" t="s">
        <v>24</v>
      </c>
      <c r="D5" s="4">
        <v>5433</v>
      </c>
      <c r="E5" s="4">
        <v>7</v>
      </c>
      <c r="F5" s="4">
        <v>5</v>
      </c>
      <c r="G5" s="4">
        <v>12</v>
      </c>
      <c r="H5" s="4">
        <v>10</v>
      </c>
      <c r="I5" s="1">
        <v>8</v>
      </c>
      <c r="J5" s="9">
        <f t="shared" si="0"/>
        <v>8.4</v>
      </c>
      <c r="K5" s="16" t="str">
        <f t="shared" si="1"/>
        <v/>
      </c>
      <c r="L5" t="s">
        <v>7</v>
      </c>
      <c r="M5">
        <f>AVERAGE(H2:H10)</f>
        <v>6.5555555555555554</v>
      </c>
    </row>
    <row r="6" spans="1:13" ht="21.75" customHeight="1">
      <c r="A6" s="4" t="s">
        <v>25</v>
      </c>
      <c r="B6" s="4" t="s">
        <v>26</v>
      </c>
      <c r="C6" s="4" t="s">
        <v>27</v>
      </c>
      <c r="D6" s="4">
        <v>5433</v>
      </c>
      <c r="E6" s="4">
        <v>4</v>
      </c>
      <c r="F6" s="4">
        <v>5</v>
      </c>
      <c r="G6" s="4">
        <v>9</v>
      </c>
      <c r="H6" s="4">
        <v>9</v>
      </c>
      <c r="I6" s="1">
        <v>10</v>
      </c>
      <c r="J6" s="9">
        <f t="shared" si="0"/>
        <v>7.4</v>
      </c>
      <c r="K6" s="16" t="str">
        <f t="shared" si="1"/>
        <v/>
      </c>
      <c r="L6" t="s">
        <v>8</v>
      </c>
      <c r="M6">
        <f>AVERAGE(I2:I10)</f>
        <v>6.333333333333333</v>
      </c>
    </row>
    <row r="7" spans="1:13" ht="21.75" customHeight="1">
      <c r="A7" s="4" t="s">
        <v>28</v>
      </c>
      <c r="B7" s="4" t="s">
        <v>29</v>
      </c>
      <c r="C7" s="4" t="s">
        <v>30</v>
      </c>
      <c r="D7" s="4">
        <v>4785</v>
      </c>
      <c r="E7" s="4">
        <v>3</v>
      </c>
      <c r="F7" s="4">
        <v>8</v>
      </c>
      <c r="G7" s="4">
        <v>5</v>
      </c>
      <c r="H7" s="4">
        <v>5</v>
      </c>
      <c r="I7" s="1">
        <v>5</v>
      </c>
      <c r="J7" s="9">
        <f t="shared" si="0"/>
        <v>5.2</v>
      </c>
      <c r="K7" s="16" t="str">
        <f>IF(J7&lt;$J$11,"Да","")</f>
        <v>Да</v>
      </c>
    </row>
    <row r="8" spans="1:13" ht="21.75" customHeight="1">
      <c r="A8" s="4" t="s">
        <v>31</v>
      </c>
      <c r="B8" s="4" t="s">
        <v>32</v>
      </c>
      <c r="C8" s="4" t="s">
        <v>33</v>
      </c>
      <c r="D8" s="4">
        <v>5433</v>
      </c>
      <c r="E8" s="4">
        <v>5</v>
      </c>
      <c r="F8" s="4">
        <v>9</v>
      </c>
      <c r="G8" s="4">
        <v>7</v>
      </c>
      <c r="H8" s="4">
        <v>7</v>
      </c>
      <c r="I8" s="1">
        <v>4</v>
      </c>
      <c r="J8" s="9">
        <f t="shared" si="0"/>
        <v>6.4</v>
      </c>
      <c r="K8" s="16" t="str">
        <f>IF(J8&lt;$J$11,"Да","")</f>
        <v>Да</v>
      </c>
      <c r="L8" s="19" t="s">
        <v>34</v>
      </c>
      <c r="M8" s="20" t="str">
        <f>INDEX(E1:I1,MATCH(MIN(E11:I11),E11:I11,0))</f>
        <v>Химия</v>
      </c>
    </row>
    <row r="9" spans="1:13" ht="21.75" customHeight="1">
      <c r="A9" s="4" t="s">
        <v>35</v>
      </c>
      <c r="B9" s="4" t="s">
        <v>32</v>
      </c>
      <c r="C9" s="4" t="s">
        <v>36</v>
      </c>
      <c r="D9" s="4">
        <v>5433</v>
      </c>
      <c r="E9" s="4">
        <v>6</v>
      </c>
      <c r="F9" s="4">
        <v>10</v>
      </c>
      <c r="G9" s="4">
        <v>4</v>
      </c>
      <c r="H9" s="4">
        <v>4</v>
      </c>
      <c r="I9" s="1">
        <v>1</v>
      </c>
      <c r="J9" s="9">
        <f t="shared" si="0"/>
        <v>5</v>
      </c>
      <c r="K9" s="16" t="str">
        <f t="shared" si="1"/>
        <v>Да</v>
      </c>
      <c r="L9" s="19" t="s">
        <v>37</v>
      </c>
      <c r="M9" s="21">
        <f>MIN(E11:I11)</f>
        <v>6.333333333333333</v>
      </c>
    </row>
    <row r="10" spans="1:13" ht="21.75" customHeight="1">
      <c r="A10" s="4" t="s">
        <v>38</v>
      </c>
      <c r="B10" s="4" t="s">
        <v>39</v>
      </c>
      <c r="C10" s="4" t="s">
        <v>40</v>
      </c>
      <c r="D10" s="4">
        <v>4569</v>
      </c>
      <c r="E10" s="5">
        <v>10</v>
      </c>
      <c r="F10" s="5">
        <v>10</v>
      </c>
      <c r="G10" s="5">
        <v>6</v>
      </c>
      <c r="H10" s="5">
        <v>1</v>
      </c>
      <c r="I10" s="12">
        <v>9</v>
      </c>
      <c r="J10" s="18">
        <f t="shared" si="0"/>
        <v>7.2</v>
      </c>
      <c r="K10" s="16" t="str">
        <f t="shared" si="1"/>
        <v/>
      </c>
      <c r="L10" s="22" t="s">
        <v>41</v>
      </c>
      <c r="M10" s="23">
        <f>J11</f>
        <v>7.1777777777777771</v>
      </c>
    </row>
    <row r="11" spans="1:13" ht="21.75" customHeight="1">
      <c r="C11" s="24" t="s">
        <v>42</v>
      </c>
      <c r="D11" s="25"/>
      <c r="E11" s="10">
        <f>AVERAGE(E2:E10)</f>
        <v>7.2222222222222223</v>
      </c>
      <c r="F11" s="11">
        <f>AVERAGE(F2:F10)</f>
        <v>8.2222222222222214</v>
      </c>
      <c r="G11" s="11">
        <f>AVERAGE(G2:G10)</f>
        <v>7.5555555555555554</v>
      </c>
      <c r="H11" s="11">
        <f>AVERAGE(H2:H10)</f>
        <v>6.5555555555555554</v>
      </c>
      <c r="I11" s="13">
        <f>AVERAGE(I2:I10)</f>
        <v>6.333333333333333</v>
      </c>
      <c r="J11" s="14">
        <f>AVERAGE(J2:J10)</f>
        <v>7.1777777777777771</v>
      </c>
    </row>
  </sheetData>
  <autoFilter ref="A1:M11" xr:uid="{00000000-0001-0000-0000-000000000000}"/>
  <mergeCells count="1">
    <mergeCell ref="C11:D11"/>
  </mergeCells>
  <conditionalFormatting sqref="E11:I11">
    <cfRule type="top10" dxfId="0" priority="1" bottom="1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2026-04-23T10:31:37Z</dcterms:created>
  <dcterms:modified xsi:type="dcterms:W3CDTF">2026-04-23T10:57:43Z</dcterms:modified>
  <cp:category/>
  <cp:contentStatus/>
</cp:coreProperties>
</file>